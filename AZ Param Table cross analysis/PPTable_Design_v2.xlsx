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jkmar\Claude\Projects\AZ SiMPL PPTable\"/>
    </mc:Choice>
  </mc:AlternateContent>
  <xr:revisionPtr revIDLastSave="0" documentId="13_ncr:1_{6E563156-430E-46D4-BAE6-1C18094F8BA8}" xr6:coauthVersionLast="47" xr6:coauthVersionMax="47" xr10:uidLastSave="{00000000-0000-0000-0000-000000000000}"/>
  <bookViews>
    <workbookView xWindow="-120" yWindow="-16320" windowWidth="29040" windowHeight="15840" tabRatio="500" xr2:uid="{00000000-000D-0000-FFFF-FFFF00000000}"/>
  </bookViews>
  <sheets>
    <sheet name="Read Me - Design" sheetId="1" r:id="rId1"/>
    <sheet name="ZPP_UOP" sheetId="2" r:id="rId2"/>
    <sheet name="ZPP_RES" sheetId="3" r:id="rId3"/>
    <sheet name="ZPP_PARAM" sheetId="4" r:id="rId4"/>
    <sheet name="ZPP_PVAL" sheetId="5" r:id="rId5"/>
    <sheet name="Scope Examples" sheetId="6" r:id="rId6"/>
    <sheet name="Retrieval Spec" sheetId="7" r:id="rId7"/>
    <sheet name="Format Comparison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49" i="1" l="1"/>
  <c r="C48" i="1"/>
  <c r="C47" i="1"/>
  <c r="C46" i="1"/>
  <c r="C45" i="1"/>
  <c r="C44" i="1"/>
  <c r="C43" i="1"/>
</calcChain>
</file>

<file path=xl/sharedStrings.xml><?xml version="1.0" encoding="utf-8"?>
<sst xmlns="http://schemas.openxmlformats.org/spreadsheetml/2006/main" count="1785" uniqueCount="542">
  <si>
    <t>Upstream Process Parameter Table (PPTable) - SAP ECC Design  (v2)</t>
  </si>
  <si>
    <t>Target: SAP ECC custom Z-tables | Formula: stored, computed downstream | Consumer: MES | Covers 500L Seed BRX + 2K Production BRX</t>
  </si>
  <si>
    <t>1. Purpose</t>
  </si>
  <si>
    <t>One governed, versioned source for upstream process parameters across unit operations. Replaces the per-template DocVariable lists (BioreactorsSeed.dotx, PrBioreactors2000L.dotx) with one structured table MES pulls at batch execution and merge tools can read. v2 was validated against the richer 2000L format - see 'Format Comparison' sheet.</t>
  </si>
  <si>
    <t>2. Three-level scope model</t>
  </si>
  <si>
    <t>Level 3 - Material</t>
  </si>
  <si>
    <t>UOP + RESOURCE + MATNR  -&gt; most specific</t>
  </si>
  <si>
    <t>Level 2 - Resource</t>
  </si>
  <si>
    <t>UOP + RESOURCE + MATNR='*'  -&gt; every material on that resource</t>
  </si>
  <si>
    <t>Level 1 - Unit Op</t>
  </si>
  <si>
    <t>UOP + RESOURCE='*' + MATNR='*'  -&gt; across all resources &amp; materials</t>
  </si>
  <si>
    <t>Resolution: match UOP; RESOURCE in (R,'*'); MATNR in (M,'*'); STATUS=Released; VALID_FROM&lt;=key date. Return most specific (Material&gt;Resource&gt;Unit Op), then latest VALID_FROM. Validated by MediumCharge = 100 kg at 500L vs 1100 kg at 2K: same concept, two unit ops, two value rows - no schema change.</t>
  </si>
  <si>
    <t>3. Tables</t>
  </si>
  <si>
    <t>ZPP_UOP</t>
  </si>
  <si>
    <t>Unit-operation master. Key UOP_ID.</t>
  </si>
  <si>
    <t>ZPP_RES</t>
  </si>
  <si>
    <t>Resource master. Key RESOURCE_ID (optional link to work center).</t>
  </si>
  <si>
    <t>ZPP_PARAM</t>
  </si>
  <si>
    <t>Parameter CATALOG - semantic definition + governance metadata (group, role, data source, mapping type, tool-ready, DTLS flag).</t>
  </si>
  <si>
    <t>ZPP_PVAL</t>
  </si>
  <si>
    <t>Parameter VALUE assignments at a scope, versioned by VALID_FROM + STATUS.</t>
  </si>
  <si>
    <t>4. Value shapes (ZPP_PVAL.VAL_TYPE)</t>
  </si>
  <si>
    <t>S - Single / target</t>
  </si>
  <si>
    <t>VAL_TARGET holds the value. Stored as text to preserve exact formatting.</t>
  </si>
  <si>
    <t>R - Range</t>
  </si>
  <si>
    <t>VAL_LOW + VAL_HIGH (10-30 -&gt; LOW=10, HIGH=30).</t>
  </si>
  <si>
    <t>E - Enum / control</t>
  </si>
  <si>
    <t>VAL_TARGET = selected option; catalog FORMAT_EXAMPLE lists options. Also used for Yes/No &amp; dropdown controls that drive conditionals.</t>
  </si>
  <si>
    <t>F - Formula (arithmetic)</t>
  </si>
  <si>
    <t>No stored value. Catalog FORMULA computed downstream from referenced params.</t>
  </si>
  <si>
    <t>C - Conditional / expression</t>
  </si>
  <si>
    <t>NEW (from 2000L). Expression with IF / comparison / string concat. Handles derived sentences (TempShiftDesc) and conditional selects (FeedA2Target).</t>
  </si>
  <si>
    <t>5. Expression grammar (machine-readable)</t>
  </si>
  <si>
    <t>Replaces prose formulas with a parseable expression. References: {PARAM_ID}. Operands resolve at the SAME scope as the caller.</t>
  </si>
  <si>
    <t>Arithmetic</t>
  </si>
  <si>
    <t>+  -  *  /  and numeric constants.  e.g. {PrBRX_MediumCharge} * 0.05</t>
  </si>
  <si>
    <t>Comparison</t>
  </si>
  <si>
    <t>operators  =  &lt;&gt;  &lt;  &lt;=  &gt;  &gt;=   (used inside IF)</t>
  </si>
  <si>
    <t>Conditional</t>
  </si>
  <si>
    <t>IF( condition , then , else )  - may nest.</t>
  </si>
  <si>
    <t>String</t>
  </si>
  <si>
    <t>concat with &amp; and "literals".  e.g. "When the VCD is "&amp;{TempShiftCriteria}&amp;" x 10^6"</t>
  </si>
  <si>
    <t>This one grammar covers both AZ formula styles seen so far: 500L fixed range ({A}+{B}) and 2000L percentage range ({A}+({A}*0.05)) - proof the compute-downstream choice generalises.</t>
  </si>
  <si>
    <t>6. Retrieval functions (RFC for MES) - see 'Retrieval Spec'</t>
  </si>
  <si>
    <t>Z_PP_GET_PARAMETER</t>
  </si>
  <si>
    <t>Single lookup: resolved value + meta + formula + operand values + winning scope.</t>
  </si>
  <si>
    <t>Z_PP_GET_PARAMETER_SET</t>
  </si>
  <si>
    <t>Bulk: full batch parameter set resolved in one call (main MES call).</t>
  </si>
  <si>
    <t>7. Governance / GxP</t>
  </si>
  <si>
    <t>STATUS (Draft/Released) + validity dates keep unreleased values out of MES. Catalog now carries the 2000L governance columns (Data Source, Source system, Mapping type, In-DTLS, Tool-Ready, Step ref, Comment) so ETL and audit context travel with each parameter. Add CDHDR/CDPOS change docs for full audit. UOM stays free text (x 10^6, slpm, oC not standard CUNI).</t>
  </si>
  <si>
    <t>8. Formula check (live - proves stored formulas &amp; conditionals resolve)</t>
  </si>
  <si>
    <t>Check</t>
  </si>
  <si>
    <t>Excel evaluation</t>
  </si>
  <si>
    <t>Expected</t>
  </si>
  <si>
    <t>500L MedChargeHigh</t>
  </si>
  <si>
    <t>500L MedChargeLow</t>
  </si>
  <si>
    <t>500L MFECDoseRange</t>
  </si>
  <si>
    <t>2K MedChargeRange (5%)</t>
  </si>
  <si>
    <t>2K MedChargeHigh (+5%)</t>
  </si>
  <si>
    <t>2K MedChargeLow (-5%)</t>
  </si>
  <si>
    <t>2K TempShiftDesc (conditional string)</t>
  </si>
  <si>
    <t>When the VCD is 1.6 x 10^6</t>
  </si>
  <si>
    <t>UOP_ID</t>
  </si>
  <si>
    <t>UOP_DESC</t>
  </si>
  <si>
    <t>LONG_TEXT</t>
  </si>
  <si>
    <t>500LSEED</t>
  </si>
  <si>
    <t>500L Seed Bioreactor</t>
  </si>
  <si>
    <t>Seed expansion in 500 L single-use BRX prior to 2000 L production</t>
  </si>
  <si>
    <t>2KPRODBRX</t>
  </si>
  <si>
    <t>2000L Production Bioreactor</t>
  </si>
  <si>
    <t>Production-scale fed-batch culture in 2000 L BRX; source template PrBioreactors2000L.dotx</t>
  </si>
  <si>
    <t>RESOURCE_ID</t>
  </si>
  <si>
    <t>RES_DESC</t>
  </si>
  <si>
    <t>WORK_CENTER (ARBPL)</t>
  </si>
  <si>
    <t>BRX500A</t>
  </si>
  <si>
    <t>500L Seed BRX - Train A</t>
  </si>
  <si>
    <t>BR500A</t>
  </si>
  <si>
    <t>BRX500B</t>
  </si>
  <si>
    <t>500L Seed BRX - Train B</t>
  </si>
  <si>
    <t>BR500B</t>
  </si>
  <si>
    <t>BRX2K01</t>
  </si>
  <si>
    <t>2000L Production BRX - Line 1</t>
  </si>
  <si>
    <t>BR2K01</t>
  </si>
  <si>
    <t>PARAM_ID</t>
  </si>
  <si>
    <t>PARAM_GROUP</t>
  </si>
  <si>
    <t>PARAM_ROLE</t>
  </si>
  <si>
    <t>PARAM_DESC</t>
  </si>
  <si>
    <t>DATA_TYPE</t>
  </si>
  <si>
    <t>UOM</t>
  </si>
  <si>
    <t>VALUE_TYPE</t>
  </si>
  <si>
    <t>IS_CALC</t>
  </si>
  <si>
    <t>FORMULA</t>
  </si>
  <si>
    <t>SRC_SYSTEM</t>
  </si>
  <si>
    <t>MAP_TYPE</t>
  </si>
  <si>
    <t>TOOL_READY</t>
  </si>
  <si>
    <t>IN_DTLS</t>
  </si>
  <si>
    <t>STEP_REF</t>
  </si>
  <si>
    <t>FORMAT_EXAMPLE</t>
  </si>
  <si>
    <t>BRX_2000L_Transfer</t>
  </si>
  <si>
    <t>Process Transfers</t>
  </si>
  <si>
    <t>SETPOINT</t>
  </si>
  <si>
    <t>VCD to transfer from seed BRX to 2K Production BRX</t>
  </si>
  <si>
    <t>FLT</t>
  </si>
  <si>
    <t>x 10^6</t>
  </si>
  <si>
    <t>S</t>
  </si>
  <si>
    <t>1.6</t>
  </si>
  <si>
    <t>BRX_AFECMaxLimit</t>
  </si>
  <si>
    <t>Media/Solution</t>
  </si>
  <si>
    <t>LIMIT</t>
  </si>
  <si>
    <t>Max antifoam limit for PN 4102603 or 4102604 (Ex-Cell Antifoam Gamma Irradiated)</t>
  </si>
  <si>
    <t>g</t>
  </si>
  <si>
    <t>13,334</t>
  </si>
  <si>
    <t>BRX_AFFAMaxLimit</t>
  </si>
  <si>
    <t>Max antifoam limit for PN 4102057 (FoamAway, Irradiated AOF, Sterile)</t>
  </si>
  <si>
    <t>6,667</t>
  </si>
  <si>
    <t>BRX_CAMPNUM</t>
  </si>
  <si>
    <t>Project Info</t>
  </si>
  <si>
    <t>REFERENCE</t>
  </si>
  <si>
    <t>Campaign project number</t>
  </si>
  <si>
    <t>STR</t>
  </si>
  <si>
    <t>N/A</t>
  </si>
  <si>
    <t>AZDXXXX, INT-XXX</t>
  </si>
  <si>
    <t>BRX_DilutionCriteria</t>
  </si>
  <si>
    <t>VCD to perform media dilution</t>
  </si>
  <si>
    <t>1.1</t>
  </si>
  <si>
    <t>BRX_InocPD</t>
  </si>
  <si>
    <t>Inoc Tech Transfer Document #</t>
  </si>
  <si>
    <t>PRO-XXXXXX, REP-XXXXXX</t>
  </si>
  <si>
    <t>BRX_MedChargeHigh</t>
  </si>
  <si>
    <t>DERIVED</t>
  </si>
  <si>
    <t>Max medium charge</t>
  </si>
  <si>
    <t>INT</t>
  </si>
  <si>
    <t>kg</t>
  </si>
  <si>
    <t>F</t>
  </si>
  <si>
    <t>X</t>
  </si>
  <si>
    <t>{BRX_MediumCharge} + {BRX_MedChargeRange}</t>
  </si>
  <si>
    <t>105</t>
  </si>
  <si>
    <t>BRX_MedChargeLow</t>
  </si>
  <si>
    <t>Min medium charge</t>
  </si>
  <si>
    <t>{BRX_MediumCharge} - {BRX_MedChargeRange}</t>
  </si>
  <si>
    <t>95</t>
  </si>
  <si>
    <t>BRX_MedChargeRange</t>
  </si>
  <si>
    <t>Medium charge +/- range</t>
  </si>
  <si>
    <t>5</t>
  </si>
  <si>
    <t>BRX_MedDilHigh</t>
  </si>
  <si>
    <t>Max medium for dilution</t>
  </si>
  <si>
    <t>288.75</t>
  </si>
  <si>
    <t>BRX_MedDilLow</t>
  </si>
  <si>
    <t>Min medium for dilution</t>
  </si>
  <si>
    <t>261.25</t>
  </si>
  <si>
    <t>BRX_MedDilRange</t>
  </si>
  <si>
    <t>Medium dilution +/- range</t>
  </si>
  <si>
    <t>13.75</t>
  </si>
  <si>
    <t>BRX_MediumCharge</t>
  </si>
  <si>
    <t>Amount to charge BRX w/ production for media hold</t>
  </si>
  <si>
    <t>100</t>
  </si>
  <si>
    <t>BRX_MediumDilution</t>
  </si>
  <si>
    <t>Amount of production media for medium dilution</t>
  </si>
  <si>
    <t>150</t>
  </si>
  <si>
    <t>BRX_MediumName</t>
  </si>
  <si>
    <t>Product media name/description</t>
  </si>
  <si>
    <t>CCMB1 Medium (M-030-V12)</t>
  </si>
  <si>
    <t>BRX_MediumPN</t>
  </si>
  <si>
    <t>Production media part number</t>
  </si>
  <si>
    <t>800XXXX</t>
  </si>
  <si>
    <t>BRX_MediumTotal</t>
  </si>
  <si>
    <t>Expected weight of production media needed</t>
  </si>
  <si>
    <t>200</t>
  </si>
  <si>
    <t>BRX_MFECDoseRange</t>
  </si>
  <si>
    <t>10% of Target manual antifoam dose for PN 4102603 or 4102604</t>
  </si>
  <si>
    <t>0.1 * {BRX_MFECTargetDose}</t>
  </si>
  <si>
    <t>30</t>
  </si>
  <si>
    <t>BRX_MFECTargetDose</t>
  </si>
  <si>
    <t>Target manual antifoam dose for PN 4102603 or 4102604</t>
  </si>
  <si>
    <t>300</t>
  </si>
  <si>
    <t>BRX_MFFADoseRange</t>
  </si>
  <si>
    <t>10% of Target manual antifoam dose for PN 4102057</t>
  </si>
  <si>
    <t>0.1 * {BRX_MFFATargetDose}</t>
  </si>
  <si>
    <t>10</t>
  </si>
  <si>
    <t>BRX_MFFATargetDose</t>
  </si>
  <si>
    <t>Target manual antifoam dose for PN 4102057</t>
  </si>
  <si>
    <t>BRX_minGlucTriggL</t>
  </si>
  <si>
    <t>Glucose</t>
  </si>
  <si>
    <t>Minimum glucose feed process limit</t>
  </si>
  <si>
    <t>g/L</t>
  </si>
  <si>
    <t>0.5</t>
  </si>
  <si>
    <t>BRX_NextAZDocNum</t>
  </si>
  <si>
    <t>2K BRX Production MPR ECSM doc code</t>
  </si>
  <si>
    <t>MABR-XXXXXX</t>
  </si>
  <si>
    <t>BRX_NextPN</t>
  </si>
  <si>
    <t>2K BRX Production part number</t>
  </si>
  <si>
    <t>BRX_pHCorrection</t>
  </si>
  <si>
    <t>Bioreactor Settings</t>
  </si>
  <si>
    <t>CONTROL</t>
  </si>
  <si>
    <t>One or half (1/2) point correction</t>
  </si>
  <si>
    <t>ENUM</t>
  </si>
  <si>
    <t>E</t>
  </si>
  <si>
    <t>One point; 1/2 point</t>
  </si>
  <si>
    <t>BRX_PN</t>
  </si>
  <si>
    <t>BRX Seed part number</t>
  </si>
  <si>
    <t>BRX_PrevAZDocNum</t>
  </si>
  <si>
    <t>Inoc MPR ECMS doc code</t>
  </si>
  <si>
    <t>BRX_PrevPN</t>
  </si>
  <si>
    <t>Inoc part number</t>
  </si>
  <si>
    <t>BRX_ProcNum</t>
  </si>
  <si>
    <t>Project process number</t>
  </si>
  <si>
    <t>1</t>
  </si>
  <si>
    <t>BRX_RBSeed</t>
  </si>
  <si>
    <t>VCD to seed rocker bag</t>
  </si>
  <si>
    <t>0.3</t>
  </si>
  <si>
    <t>BRX_RBSplit</t>
  </si>
  <si>
    <t>VCD to split rocker bag</t>
  </si>
  <si>
    <t>BRX_SeedAgALHigh</t>
  </si>
  <si>
    <t>BRX seed agitation AL high</t>
  </si>
  <si>
    <t>rpm</t>
  </si>
  <si>
    <t>55</t>
  </si>
  <si>
    <t>BRX_SeedAgALLow</t>
  </si>
  <si>
    <t>BRX seed agitation AL low</t>
  </si>
  <si>
    <t>45</t>
  </si>
  <si>
    <t>BRX_SeedAgPLHigh</t>
  </si>
  <si>
    <t>Agitation - High process limit</t>
  </si>
  <si>
    <t>70</t>
  </si>
  <si>
    <t>BRX_SeedAgPLLow</t>
  </si>
  <si>
    <t>Agitation - Low process limit</t>
  </si>
  <si>
    <t>15</t>
  </si>
  <si>
    <t>BRX_SeedAgSP</t>
  </si>
  <si>
    <t>BRX seed agitation set point</t>
  </si>
  <si>
    <t>50</t>
  </si>
  <si>
    <t>BRX_SeedASSP</t>
  </si>
  <si>
    <t>BRX seed air sparge set point</t>
  </si>
  <si>
    <t>slpm</t>
  </si>
  <si>
    <t>2.0</t>
  </si>
  <si>
    <t>BRX_SeedOAALHigh</t>
  </si>
  <si>
    <t>BRX seed overlay air AL high</t>
  </si>
  <si>
    <t>29.9</t>
  </si>
  <si>
    <t>BRX_SeedOAALLow</t>
  </si>
  <si>
    <t>BRX seed overlay air AL low</t>
  </si>
  <si>
    <t>31.0</t>
  </si>
  <si>
    <t>BRX_SeedOAPLHigh</t>
  </si>
  <si>
    <t>BRX seed overlay air process limit high</t>
  </si>
  <si>
    <t>3.0</t>
  </si>
  <si>
    <t>BRX_SeedOAPLLow</t>
  </si>
  <si>
    <t>BRX seed overlay air process limit low</t>
  </si>
  <si>
    <t>50.0</t>
  </si>
  <si>
    <t>BRX_SeedOASP</t>
  </si>
  <si>
    <t>BRX seed overlay air set point</t>
  </si>
  <si>
    <t>30.0</t>
  </si>
  <si>
    <t>BRX_SeedpHALHigh</t>
  </si>
  <si>
    <t>BRX seed pH AL high</t>
  </si>
  <si>
    <t>7.40</t>
  </si>
  <si>
    <t>BRX_SeedpHALLow</t>
  </si>
  <si>
    <t>BRX seed pH AL low</t>
  </si>
  <si>
    <t>7.05</t>
  </si>
  <si>
    <t>BRX_SeedpHDB</t>
  </si>
  <si>
    <t>Seed pH deadband</t>
  </si>
  <si>
    <t>0.15</t>
  </si>
  <si>
    <t>BRX_SeedpHMajDev</t>
  </si>
  <si>
    <t>pH - Major deviation set point</t>
  </si>
  <si>
    <t>0.30</t>
  </si>
  <si>
    <t>BRX_SeedpHMinDev</t>
  </si>
  <si>
    <t>pH - Minor deviation set point</t>
  </si>
  <si>
    <t>0.10</t>
  </si>
  <si>
    <t>BRX_SeedpHPLHigh</t>
  </si>
  <si>
    <t>BRX seed pH process limit high</t>
  </si>
  <si>
    <t>7.50</t>
  </si>
  <si>
    <t>BRX_SeedpHPLLow</t>
  </si>
  <si>
    <t>BRX seed pH process limit low</t>
  </si>
  <si>
    <t>6.90</t>
  </si>
  <si>
    <t>BRX_SeedpHSP</t>
  </si>
  <si>
    <t>BRX seed pH set point</t>
  </si>
  <si>
    <t>7.20</t>
  </si>
  <si>
    <t>BRX_SeedpOSP</t>
  </si>
  <si>
    <t>BRX seed pO2 (dissolved O2) set point</t>
  </si>
  <si>
    <t>%</t>
  </si>
  <si>
    <t>40.0</t>
  </si>
  <si>
    <t>BRX_SeedSAALHigh</t>
  </si>
  <si>
    <t>BRX seed air sparge AL high</t>
  </si>
  <si>
    <t>2.2</t>
  </si>
  <si>
    <t>BRX_SeedSAALLow</t>
  </si>
  <si>
    <t>BRX seed air sparge AL low</t>
  </si>
  <si>
    <t>1.8</t>
  </si>
  <si>
    <t>BRX_SeedSAPLHigh</t>
  </si>
  <si>
    <t>BRX seed air sparge process limit high</t>
  </si>
  <si>
    <t>10.0</t>
  </si>
  <si>
    <t>BRX_SeedSAPLLow</t>
  </si>
  <si>
    <t>BRX seed air sparge process limit low</t>
  </si>
  <si>
    <t>BRX_SeedTemALHigh</t>
  </si>
  <si>
    <t>BRX seed temperature AL high</t>
  </si>
  <si>
    <t>oC</t>
  </si>
  <si>
    <t>37.0</t>
  </si>
  <si>
    <t>BRX_SeedTemALLow</t>
  </si>
  <si>
    <t>BRX seed temperature AL low</t>
  </si>
  <si>
    <t>36.0</t>
  </si>
  <si>
    <t>BRX_SeedTemPLHigh</t>
  </si>
  <si>
    <t>BRX seed temperature process limit high</t>
  </si>
  <si>
    <t>38.0</t>
  </si>
  <si>
    <t>BRX_SeedTemPLLow</t>
  </si>
  <si>
    <t>BRX seed temperature process limit low</t>
  </si>
  <si>
    <t>35.0</t>
  </si>
  <si>
    <t>BRX_SeedTempSP</t>
  </si>
  <si>
    <t>BRX seed temperature set point</t>
  </si>
  <si>
    <t>36.5</t>
  </si>
  <si>
    <t>record_ids</t>
  </si>
  <si>
    <t>SYSTEM</t>
  </si>
  <si>
    <t>Record index; use to retrieve or save a record</t>
  </si>
  <si>
    <t>production_bioreactor_template.csv</t>
  </si>
  <si>
    <t>NA</t>
  </si>
  <si>
    <t>x</t>
  </si>
  <si>
    <t>PrBRX_MediumCharge</t>
  </si>
  <si>
    <t>Amount of production medium to charge in BRX</t>
  </si>
  <si>
    <t>SSPD</t>
  </si>
  <si>
    <t>automatic</t>
  </si>
  <si>
    <t>Y</t>
  </si>
  <si>
    <t>8.8</t>
  </si>
  <si>
    <t>1100</t>
  </si>
  <si>
    <t>PrBRX_MedChargeRange</t>
  </si>
  <si>
    <t>Medium charge +/- range (5% of charge)</t>
  </si>
  <si>
    <t>{PrBRX_MediumCharge} * 0.05</t>
  </si>
  <si>
    <t>calc</t>
  </si>
  <si>
    <t>Automatic</t>
  </si>
  <si>
    <t>2</t>
  </si>
  <si>
    <t>PrBRX_MedChargeHigh</t>
  </si>
  <si>
    <t>{PrBRX_MediumCharge} + ({PrBRX_MediumCharge} * 0.05)</t>
  </si>
  <si>
    <t>1155</t>
  </si>
  <si>
    <t>PrBRX_MedChargeLow</t>
  </si>
  <si>
    <t>{PrBRX_MediumCharge} - ({PrBRX_MediumCharge} * 0.05)</t>
  </si>
  <si>
    <t>1045</t>
  </si>
  <si>
    <t>PrBRX_MedTempSP</t>
  </si>
  <si>
    <t>Medium hold temperature</t>
  </si>
  <si>
    <t>PD</t>
  </si>
  <si>
    <t>8.9</t>
  </si>
  <si>
    <t>TempShiftDec</t>
  </si>
  <si>
    <t>Perform temperature shift? Drives conditional (form-only)</t>
  </si>
  <si>
    <t>Form</t>
  </si>
  <si>
    <t>Manual</t>
  </si>
  <si>
    <t>Yes; No</t>
  </si>
  <si>
    <t>TempShiftDropDown</t>
  </si>
  <si>
    <t>Temperature shift trigger basis (form-only)</t>
  </si>
  <si>
    <t>VCD; Production Day</t>
  </si>
  <si>
    <t>TempShiftCriteria</t>
  </si>
  <si>
    <t>Temperature shift criteria value</t>
  </si>
  <si>
    <t>PrBRX_TempShiftDesc</t>
  </si>
  <si>
    <t>Criteria sentence built by conditional logic</t>
  </si>
  <si>
    <t>C</t>
  </si>
  <si>
    <t>IF({TempShiftDec}="Yes", IF({TempShiftDropDown}="VCD", "When the VCD is "&amp;{TempShiftCriteria}&amp;" x 10^6", "On Production Day "&amp;{TempShiftCriteria}), "")</t>
  </si>
  <si>
    <t>PrBRX_Feed1Trig_VCD</t>
  </si>
  <si>
    <t>Feed</t>
  </si>
  <si>
    <t>Feed 1 trigger - VCD basis (decomposed from compound Feed1Trig)</t>
  </si>
  <si>
    <t>4.5</t>
  </si>
  <si>
    <t>PrBRX_Feed1Trig_ProdDay</t>
  </si>
  <si>
    <t>Feed 1 trigger - production day (decomposed)</t>
  </si>
  <si>
    <t>day</t>
  </si>
  <si>
    <t>4</t>
  </si>
  <si>
    <t>PrBRX_Feed1Trig_Hours</t>
  </si>
  <si>
    <t>Feed 1 trigger - hours after dilution (decomposed)</t>
  </si>
  <si>
    <t>h</t>
  </si>
  <si>
    <t>12</t>
  </si>
  <si>
    <t>PrBRX_FeedA2Target</t>
  </si>
  <si>
    <t>Feed A2 target via conditional select</t>
  </si>
  <si>
    <t>IF({PrBRX_FeedAT2} &gt;= 2, {PrBRX_FeedATarget1}, {PrBRX_FeedATarget2})</t>
  </si>
  <si>
    <t>Automatic (AI)</t>
  </si>
  <si>
    <t>PrBRX_FeedA2High</t>
  </si>
  <si>
    <t>Feed A2 high (target +5%)</t>
  </si>
  <si>
    <t>{PrBRX_FeedA2Target} + (0.05 * {PrBRX_FeedA2Target})</t>
  </si>
  <si>
    <t>PrBRX_FeedA2Low</t>
  </si>
  <si>
    <t>Feed A2 low (target -5%)</t>
  </si>
  <si>
    <t>{PrBRX_FeedA2Target} - (0.05 * {PrBRX_FeedA2Target})</t>
  </si>
  <si>
    <t>MATNR</t>
  </si>
  <si>
    <t>SCOPE_LEVEL</t>
  </si>
  <si>
    <t>VAL_TYPE</t>
  </si>
  <si>
    <t>VAL_TARGET</t>
  </si>
  <si>
    <t>VAL_LOW</t>
  </si>
  <si>
    <t>VAL_HIGH</t>
  </si>
  <si>
    <t>VALID_FROM</t>
  </si>
  <si>
    <t>STATUS</t>
  </si>
  <si>
    <t>*</t>
  </si>
  <si>
    <t>2026-01-01</t>
  </si>
  <si>
    <t>Released</t>
  </si>
  <si>
    <t>One point</t>
  </si>
  <si>
    <t>36.8</t>
  </si>
  <si>
    <t>8001234</t>
  </si>
  <si>
    <t>110</t>
  </si>
  <si>
    <t>Yes</t>
  </si>
  <si>
    <t>VCD</t>
  </si>
  <si>
    <t>Scope resolution walk-throughs</t>
  </si>
  <si>
    <t>Given (UOP / RESOURCE / MATNR)</t>
  </si>
  <si>
    <t>Parameter</t>
  </si>
  <si>
    <t>Resolved value</t>
  </si>
  <si>
    <t>Why</t>
  </si>
  <si>
    <t>500LSEED / BRX500A / 8001234</t>
  </si>
  <si>
    <t>36.8 oC</t>
  </si>
  <si>
    <t>L2 resource override beats L1 default 36.5.</t>
  </si>
  <si>
    <t>500LSEED / BRX500B / 8001234</t>
  </si>
  <si>
    <t>36.5 oC</t>
  </si>
  <si>
    <t>No BRX500B row -&gt; L1 default.</t>
  </si>
  <si>
    <t>110 kg</t>
  </si>
  <si>
    <t>L3 material override beats L1 default 100.</t>
  </si>
  <si>
    <t>2KPRODBRX / BRX2K01 / *</t>
  </si>
  <si>
    <t>1100 kg</t>
  </si>
  <si>
    <t>Same concept as 500L, different unit op -&gt; its own value row.</t>
  </si>
  <si>
    <t>1155 kg</t>
  </si>
  <si>
    <t>Percentage formula {A}+({A}*0.05) resolves at scope -&gt; 1100*1.05.</t>
  </si>
  <si>
    <t>'When the VCD is 1.6 x 10^6'</t>
  </si>
  <si>
    <t>Conditional string: Dec=Yes, DropDown=VCD -&gt; branch concatenates criteria.</t>
  </si>
  <si>
    <t>RFC retrieval function modules</t>
  </si>
  <si>
    <t>Z_PP_GET_PARAMETER  (single)</t>
  </si>
  <si>
    <t>Direction</t>
  </si>
  <si>
    <t>Type</t>
  </si>
  <si>
    <t>Description</t>
  </si>
  <si>
    <t>IV_UOP</t>
  </si>
  <si>
    <t>IMPORT</t>
  </si>
  <si>
    <t>CHAR10</t>
  </si>
  <si>
    <t>Unit operation</t>
  </si>
  <si>
    <t>IV_RESOURCE</t>
  </si>
  <si>
    <t>CHAR18</t>
  </si>
  <si>
    <t>Resource</t>
  </si>
  <si>
    <t>IV_MATNR</t>
  </si>
  <si>
    <t>Material number</t>
  </si>
  <si>
    <t>IV_PARAM_ID</t>
  </si>
  <si>
    <t>CHAR40</t>
  </si>
  <si>
    <t>Parameter identifier</t>
  </si>
  <si>
    <t>IV_KEYDATE</t>
  </si>
  <si>
    <t>DATS</t>
  </si>
  <si>
    <t>Effectivity date</t>
  </si>
  <si>
    <t>ES_PARAM</t>
  </si>
  <si>
    <t>EXPORT</t>
  </si>
  <si>
    <t>ZPP_S_PARAM</t>
  </si>
  <si>
    <t>Catalog meta + resolved value + UOM + group/role</t>
  </si>
  <si>
    <t>EV_FORMULA</t>
  </si>
  <si>
    <t>CHAR255</t>
  </si>
  <si>
    <t>Formula/expression if VAL_TYPE in (F,C)</t>
  </si>
  <si>
    <t>ET_OPERANDS</t>
  </si>
  <si>
    <t>ZPP_T_OPVAL</t>
  </si>
  <si>
    <t>Referenced params + resolved values (downstream compute)</t>
  </si>
  <si>
    <t>EV_SCOPE_LEVEL</t>
  </si>
  <si>
    <t>CHAR1</t>
  </si>
  <si>
    <t>Winning scope 1/2/3</t>
  </si>
  <si>
    <t>ET_RETURN</t>
  </si>
  <si>
    <t>BAPIRET2_T</t>
  </si>
  <si>
    <t>Messages</t>
  </si>
  <si>
    <t>Z_PP_GET_PARAMETER_SET  (full batch set - main MES call)</t>
  </si>
  <si>
    <t>IV_GROUP</t>
  </si>
  <si>
    <t>Optional filter by PARAM_GROUP</t>
  </si>
  <si>
    <t>ET_PARAMS</t>
  </si>
  <si>
    <t>ZPP_T_PARAM</t>
  </si>
  <si>
    <t>Every applicable parameter resolved to most specific value + formula + operands</t>
  </si>
  <si>
    <t>Does the design work for the 2000L format? - verification</t>
  </si>
  <si>
    <t>Verdict: core model holds unchanged; five additive extensions absorb the richer 2000L format. No redesign.</t>
  </si>
  <si>
    <t>A. 2000L column / marker -&gt; design element</t>
  </si>
  <si>
    <t>2000L column / marker</t>
  </si>
  <si>
    <t>Maps to</t>
  </si>
  <si>
    <t>Notes</t>
  </si>
  <si>
    <t>A - Tool Ready (x)</t>
  </si>
  <si>
    <t>ZPP_PARAM.TOOL_READY</t>
  </si>
  <si>
    <t>Governance flag.</t>
  </si>
  <si>
    <t>A - section headers</t>
  </si>
  <si>
    <t>ZPP_PARAM.PARAM_GROUP</t>
  </si>
  <si>
    <t>6 groups: Media, Bioreactor Settings, Feed, Glucose, Antifoam, Additional.</t>
  </si>
  <si>
    <t>B - DocVariable Name</t>
  </si>
  <si>
    <t>ZPP_PARAM.PARAM_ID</t>
  </si>
  <si>
    <t>PrBRX_ vs BRX_ = same concept, per-unit-op identifier. Handled by UOP scope.</t>
  </si>
  <si>
    <t>C - Description</t>
  </si>
  <si>
    <t>PARAM_DESC (+ FORMULA)</t>
  </si>
  <si>
    <t>For calc/orange rows the prose in C is a formula -&gt; moved to FORMULA with formal grammar.</t>
  </si>
  <si>
    <t>D - Type</t>
  </si>
  <si>
    <t>float/int/string/radio -&gt; FLT/INT/STR/ENUM.</t>
  </si>
  <si>
    <t>E - Data Source</t>
  </si>
  <si>
    <t>ZPP_PARAM (Data Source)</t>
  </si>
  <si>
    <t>Kept as catalog metadata.</t>
  </si>
  <si>
    <t>F - Step/Section used</t>
  </si>
  <si>
    <t>ZPP_PARAM.STEP_REF</t>
  </si>
  <si>
    <t>Where used in the MPR.</t>
  </si>
  <si>
    <t>G - Format/Example</t>
  </si>
  <si>
    <t>FORMAT_EXAMPLE / VAL_*</t>
  </si>
  <si>
    <t>Example on catalog; actual value on ZPP_PVAL.</t>
  </si>
  <si>
    <t>H - Units</t>
  </si>
  <si>
    <t>Free text (x 10^6, slpm, oC...).</t>
  </si>
  <si>
    <t>I - In DTLS?</t>
  </si>
  <si>
    <t>ZPP_PARAM.IN_DTLS</t>
  </si>
  <si>
    <t>Y/N/TBD.</t>
  </si>
  <si>
    <t>J - Source</t>
  </si>
  <si>
    <t>ZPP_PARAM.SRC_SYSTEM</t>
  </si>
  <si>
    <t>SSPD / PD / ECMS / SAP / calc.</t>
  </si>
  <si>
    <t>K - Mapping type</t>
  </si>
  <si>
    <t>ZPP_PARAM.MAP_TYPE</t>
  </si>
  <si>
    <t>Automatic / Manual / AI / TBD.</t>
  </si>
  <si>
    <t>L - Comment</t>
  </si>
  <si>
    <t>ZPP_PARAM (Comment)</t>
  </si>
  <si>
    <t>Optional long text.</t>
  </si>
  <si>
    <t>M - Tool Screenshot</t>
  </si>
  <si>
    <t>(attachment ref)</t>
  </si>
  <si>
    <t>Optional; link/GOS attachment, not a value.</t>
  </si>
  <si>
    <t>yellow fill</t>
  </si>
  <si>
    <t>IS_CALC=X, VAL_TYPE F/C</t>
  </si>
  <si>
    <t>Calculated variable.</t>
  </si>
  <si>
    <t>orange fill</t>
  </si>
  <si>
    <t>PARAM_ROLE=CONTROL</t>
  </si>
  <si>
    <t>GUI form input / form-only that drives conditionals.</t>
  </si>
  <si>
    <t>B. Five extensions the 2000L drove</t>
  </si>
  <si>
    <t>Extension</t>
  </si>
  <si>
    <t>What it adds</t>
  </si>
  <si>
    <t>Example from 2000L</t>
  </si>
  <si>
    <t>1. PARAM_GROUP</t>
  </si>
  <si>
    <t>Category within a unit op</t>
  </si>
  <si>
    <t>Media / Bioreactor Settings / Feed / Glucose / Antifoam / Additional</t>
  </si>
  <si>
    <t>2. Governance metadata</t>
  </si>
  <si>
    <t>Data Source, Src system, Mapping type, In-DTLS, Tool-Ready, Step, Comment</t>
  </si>
  <si>
    <t>cols E,F,I,J,K,L + Tool-Ready flag</t>
  </si>
  <si>
    <t>3. VAL_TYPE 'C' + richer grammar</t>
  </si>
  <si>
    <t>IF / comparison / string concat, not just arithmetic</t>
  </si>
  <si>
    <t>PrBRX_TempShiftDesc, PrBRX_FeedA2Target</t>
  </si>
  <si>
    <t>4. PARAM_ROLE</t>
  </si>
  <si>
    <t>SETPOINT / LIMIT / CONTROL / DERIVED / REFERENCE / SYSTEM</t>
  </si>
  <si>
    <t>TempShiftDec=CONTROL, record_ids=SYSTEM</t>
  </si>
  <si>
    <t>5. Decompose compound values</t>
  </si>
  <si>
    <t>Split packed multi-trigger strings into atomic params</t>
  </si>
  <si>
    <t>Feed1Trig '4.5 (x10^6), Day 4, 12 h' -&gt; _VCD / _ProdDay / _Hours</t>
  </si>
  <si>
    <t>C. Hard cases - modeled &amp; verified</t>
  </si>
  <si>
    <t>2000L case</t>
  </si>
  <si>
    <t>How modeled</t>
  </si>
  <si>
    <t>Status</t>
  </si>
  <si>
    <t>Percentage range formula</t>
  </si>
  <si>
    <t>VAL_TYPE F: {PrBRX_MediumCharge}+({PrBRX_MediumCharge}*0.05)</t>
  </si>
  <si>
    <t>Verified 1155 (Read Me check)</t>
  </si>
  <si>
    <t>Conditional derived sentence</t>
  </si>
  <si>
    <t>VAL_TYPE C: IF/IF + string concat</t>
  </si>
  <si>
    <t>Verified 'When the VCD is 1.6 x 10^6'</t>
  </si>
  <si>
    <t>Conditional select</t>
  </si>
  <si>
    <t>VAL_TYPE C: IF({FeedAT2}&gt;=2,{Target1},{Target2})</t>
  </si>
  <si>
    <t>Modeled (FeedA2Target)</t>
  </si>
  <si>
    <t>Yes/No &amp; dropdown controls</t>
  </si>
  <si>
    <t>VAL_TYPE E + ROLE CONTROL</t>
  </si>
  <si>
    <t>Modeled (TempShiftDec/DropDown)</t>
  </si>
  <si>
    <t>Compound multi-trigger</t>
  </si>
  <si>
    <t>Decomposed into 3 atomic params</t>
  </si>
  <si>
    <t>Modeled (Feed1Trig_*)</t>
  </si>
  <si>
    <t>System/record field</t>
  </si>
  <si>
    <t>ROLE SYSTEM (excluded from process set)</t>
  </si>
  <si>
    <t>Modeled (record_ids)</t>
  </si>
  <si>
    <t>Same concept, new scale</t>
  </si>
  <si>
    <t>MediumCharge 100 vs 1100 across unit ops</t>
  </si>
  <si>
    <t>Verified via UOP scope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</si>
</sst>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"/>
    </font>
    <font>
      <b/>
      <sz val="14"/>
      <color rgb="FF1F4E79"/>
      <name val="Arial"/>
      <charset val="1"/>
    </font>
    <font>
      <i/>
      <sz val="10"/>
      <color rgb="FF595959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0"/>
      <color rgb="FFFFFFFF"/>
      <name val="Arial"/>
      <charset val="1"/>
    </font>
    <font>
      <b/>
      <sz val="13"/>
      <color rgb="FF1F4E79"/>
      <name val="Arial"/>
      <charset val="1"/>
    </font>
    <font>
      <i/>
      <sz val="10"/>
      <color rgb="FF375623"/>
      <name val="Arial"/>
      <charset val="1"/>
    </font>
  </fonts>
  <fills count="11">
    <fill>
      <patternFill patternType="none"/>
    </fill>
    <fill>
      <patternFill patternType="gray125"/>
    </fill>
    <fill>
      <patternFill patternType="solid">
        <fgColor rgb="FFD9E1F2"/>
        <bgColor rgb="FFE2EFDA"/>
      </patternFill>
    </fill>
    <fill>
      <patternFill patternType="solid">
        <fgColor rgb="FF1F4E79"/>
        <bgColor rgb="FF003366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E2EFDA"/>
        <bgColor rgb="FFD9E1F2"/>
      </patternFill>
    </fill>
    <fill>
      <patternFill patternType="solid">
        <fgColor rgb="FFFF0000"/>
        <bgColor rgb="FF003366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FCE4D6"/>
      </patternFill>
    </fill>
    <fill>
      <patternFill patternType="solid">
        <fgColor rgb="FFFF0000"/>
        <b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/>
    <xf numFmtId="0" fontId="1" fillId="0" borderId="0" xfId="0" applyFont="1" applyAlignment="1"/>
    <xf numFmtId="0" fontId="2" fillId="0" borderId="0" xfId="0" applyFont="1" applyAlignment="1"/>
    <xf numFmtId="0" fontId="3" fillId="2" borderId="0" xfId="0" applyFont="1" applyFill="1" applyAlignment="1"/>
    <xf numFmtId="0" fontId="0" fillId="2" borderId="0" xfId="0" applyFill="1" applyAlignment="1"/>
    <xf numFmtId="0" fontId="4" fillId="0" borderId="0" xfId="0" applyFont="1" applyAlignment="1">
      <alignment vertical="top" wrapText="1"/>
    </xf>
    <xf numFmtId="0" fontId="3" fillId="0" borderId="0" xfId="0" applyFont="1" applyAlignment="1">
      <alignment vertical="top"/>
    </xf>
    <xf numFmtId="0" fontId="5" fillId="3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top"/>
    </xf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4" fillId="5" borderId="1" xfId="0" applyFont="1" applyFill="1" applyBorder="1" applyAlignment="1">
      <alignment vertical="top" wrapText="1"/>
    </xf>
    <xf numFmtId="0" fontId="4" fillId="6" borderId="1" xfId="0" applyFont="1" applyFill="1" applyBorder="1" applyAlignment="1">
      <alignment vertical="top" wrapText="1"/>
    </xf>
    <xf numFmtId="0" fontId="6" fillId="0" borderId="0" xfId="0" applyFont="1" applyAlignment="1"/>
    <xf numFmtId="0" fontId="3" fillId="0" borderId="1" xfId="0" applyFont="1" applyBorder="1" applyAlignment="1">
      <alignment vertical="top" wrapText="1"/>
    </xf>
    <xf numFmtId="0" fontId="7" fillId="0" borderId="0" xfId="0" applyFont="1" applyAlignment="1"/>
    <xf numFmtId="0" fontId="5" fillId="7" borderId="1" xfId="0" applyFont="1" applyFill="1" applyBorder="1" applyAlignment="1">
      <alignment vertical="center" wrapText="1"/>
    </xf>
    <xf numFmtId="0" fontId="4" fillId="8" borderId="1" xfId="0" applyFont="1" applyFill="1" applyBorder="1" applyAlignment="1">
      <alignment vertical="top" wrapText="1"/>
    </xf>
    <xf numFmtId="0" fontId="4" fillId="9" borderId="1" xfId="0" applyFont="1" applyFill="1" applyBorder="1" applyAlignment="1">
      <alignment vertical="top" wrapText="1"/>
    </xf>
    <xf numFmtId="0" fontId="4" fillId="10" borderId="1" xfId="0" applyFont="1" applyFill="1" applyBorder="1" applyAlignment="1">
      <alignment vertical="top" wrapText="1"/>
    </xf>
    <xf numFmtId="0" fontId="0" fillId="8" borderId="0" xfId="0" applyFill="1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9"/>
  <sheetViews>
    <sheetView showGridLines="0" tabSelected="1" zoomScaleNormal="100" workbookViewId="0">
      <selection activeCell="C17" sqref="C17"/>
    </sheetView>
  </sheetViews>
  <sheetFormatPr defaultColWidth="8.7109375" defaultRowHeight="15" x14ac:dyDescent="0.25"/>
  <cols>
    <col min="1" max="1" width="3" style="1" customWidth="1"/>
    <col min="2" max="2" width="26" style="1" customWidth="1"/>
    <col min="3" max="3" width="96" style="1" customWidth="1"/>
    <col min="4" max="4" width="30" style="1" customWidth="1"/>
  </cols>
  <sheetData>
    <row r="1" spans="2:3" ht="17.25" customHeight="1" x14ac:dyDescent="0.25">
      <c r="B1" s="2" t="s">
        <v>0</v>
      </c>
    </row>
    <row r="2" spans="2:3" ht="15" customHeight="1" x14ac:dyDescent="0.25">
      <c r="B2" s="3" t="s">
        <v>1</v>
      </c>
    </row>
    <row r="4" spans="2:3" ht="15" customHeight="1" x14ac:dyDescent="0.25">
      <c r="B4" s="4" t="s">
        <v>2</v>
      </c>
      <c r="C4" s="5"/>
    </row>
    <row r="5" spans="2:3" ht="58.5" customHeight="1" x14ac:dyDescent="0.25">
      <c r="C5" s="6" t="s">
        <v>3</v>
      </c>
    </row>
    <row r="7" spans="2:3" ht="15" customHeight="1" x14ac:dyDescent="0.25">
      <c r="B7" s="4" t="s">
        <v>4</v>
      </c>
      <c r="C7" s="5"/>
    </row>
    <row r="8" spans="2:3" ht="15" customHeight="1" x14ac:dyDescent="0.25">
      <c r="B8" s="7" t="s">
        <v>5</v>
      </c>
      <c r="C8" s="6" t="s">
        <v>6</v>
      </c>
    </row>
    <row r="9" spans="2:3" ht="15" customHeight="1" x14ac:dyDescent="0.25">
      <c r="B9" s="7" t="s">
        <v>7</v>
      </c>
      <c r="C9" s="6" t="s">
        <v>8</v>
      </c>
    </row>
    <row r="10" spans="2:3" ht="15" customHeight="1" x14ac:dyDescent="0.25">
      <c r="B10" s="7" t="s">
        <v>9</v>
      </c>
      <c r="C10" s="6" t="s">
        <v>10</v>
      </c>
    </row>
    <row r="11" spans="2:3" ht="34.5" customHeight="1" x14ac:dyDescent="0.25">
      <c r="C11" s="6" t="s">
        <v>11</v>
      </c>
    </row>
    <row r="13" spans="2:3" ht="15" customHeight="1" x14ac:dyDescent="0.25">
      <c r="B13" s="4" t="s">
        <v>12</v>
      </c>
      <c r="C13" s="5"/>
    </row>
    <row r="14" spans="2:3" ht="15" customHeight="1" x14ac:dyDescent="0.25">
      <c r="B14" s="7" t="s">
        <v>13</v>
      </c>
      <c r="C14" s="6" t="s">
        <v>14</v>
      </c>
    </row>
    <row r="15" spans="2:3" ht="15" customHeight="1" x14ac:dyDescent="0.25">
      <c r="B15" s="7" t="s">
        <v>15</v>
      </c>
      <c r="C15" s="6" t="s">
        <v>16</v>
      </c>
    </row>
    <row r="16" spans="2:3" ht="23.25" customHeight="1" x14ac:dyDescent="0.25">
      <c r="B16" s="7" t="s">
        <v>17</v>
      </c>
      <c r="C16" s="6" t="s">
        <v>18</v>
      </c>
    </row>
    <row r="17" spans="2:3" ht="15" customHeight="1" x14ac:dyDescent="0.25">
      <c r="B17" s="7" t="s">
        <v>19</v>
      </c>
      <c r="C17" s="6" t="s">
        <v>20</v>
      </c>
    </row>
    <row r="19" spans="2:3" ht="15" customHeight="1" x14ac:dyDescent="0.25">
      <c r="B19" s="4" t="s">
        <v>21</v>
      </c>
      <c r="C19" s="5"/>
    </row>
    <row r="20" spans="2:3" ht="15" customHeight="1" x14ac:dyDescent="0.25">
      <c r="B20" s="7" t="s">
        <v>22</v>
      </c>
      <c r="C20" s="6" t="s">
        <v>23</v>
      </c>
    </row>
    <row r="21" spans="2:3" ht="15" customHeight="1" x14ac:dyDescent="0.25">
      <c r="B21" s="7" t="s">
        <v>24</v>
      </c>
      <c r="C21" s="6" t="s">
        <v>25</v>
      </c>
    </row>
    <row r="22" spans="2:3" ht="23.25" customHeight="1" x14ac:dyDescent="0.25">
      <c r="B22" s="7" t="s">
        <v>26</v>
      </c>
      <c r="C22" s="6" t="s">
        <v>27</v>
      </c>
    </row>
    <row r="23" spans="2:3" ht="15" customHeight="1" x14ac:dyDescent="0.25">
      <c r="B23" s="7" t="s">
        <v>28</v>
      </c>
      <c r="C23" s="6" t="s">
        <v>29</v>
      </c>
    </row>
    <row r="24" spans="2:3" ht="23.25" customHeight="1" x14ac:dyDescent="0.25">
      <c r="B24" s="7" t="s">
        <v>30</v>
      </c>
      <c r="C24" s="6" t="s">
        <v>31</v>
      </c>
    </row>
    <row r="26" spans="2:3" ht="15" customHeight="1" x14ac:dyDescent="0.25">
      <c r="B26" s="4" t="s">
        <v>32</v>
      </c>
      <c r="C26" s="5"/>
    </row>
    <row r="27" spans="2:3" ht="23.25" customHeight="1" x14ac:dyDescent="0.25">
      <c r="C27" s="6" t="s">
        <v>33</v>
      </c>
    </row>
    <row r="28" spans="2:3" ht="15" customHeight="1" x14ac:dyDescent="0.25">
      <c r="B28" s="7" t="s">
        <v>34</v>
      </c>
      <c r="C28" s="6" t="s">
        <v>35</v>
      </c>
    </row>
    <row r="29" spans="2:3" ht="15" customHeight="1" x14ac:dyDescent="0.25">
      <c r="B29" s="7" t="s">
        <v>36</v>
      </c>
      <c r="C29" s="6" t="s">
        <v>37</v>
      </c>
    </row>
    <row r="30" spans="2:3" ht="15" customHeight="1" x14ac:dyDescent="0.25">
      <c r="B30" s="7" t="s">
        <v>38</v>
      </c>
      <c r="C30" s="6" t="s">
        <v>39</v>
      </c>
    </row>
    <row r="31" spans="2:3" ht="15" customHeight="1" x14ac:dyDescent="0.25">
      <c r="B31" s="7" t="s">
        <v>40</v>
      </c>
      <c r="C31" s="6" t="s">
        <v>41</v>
      </c>
    </row>
    <row r="32" spans="2:3" ht="23.25" customHeight="1" x14ac:dyDescent="0.25">
      <c r="C32" s="6" t="s">
        <v>42</v>
      </c>
    </row>
    <row r="34" spans="2:4" ht="15" customHeight="1" x14ac:dyDescent="0.25">
      <c r="B34" s="4" t="s">
        <v>43</v>
      </c>
      <c r="C34" s="5"/>
    </row>
    <row r="35" spans="2:4" ht="15" customHeight="1" x14ac:dyDescent="0.25">
      <c r="B35" s="7" t="s">
        <v>44</v>
      </c>
      <c r="C35" s="6" t="s">
        <v>45</v>
      </c>
    </row>
    <row r="36" spans="2:4" ht="15" customHeight="1" x14ac:dyDescent="0.25">
      <c r="B36" s="7" t="s">
        <v>46</v>
      </c>
      <c r="C36" s="6" t="s">
        <v>47</v>
      </c>
    </row>
    <row r="38" spans="2:4" ht="15" customHeight="1" x14ac:dyDescent="0.25">
      <c r="B38" s="4" t="s">
        <v>48</v>
      </c>
      <c r="C38" s="5"/>
    </row>
    <row r="39" spans="2:4" ht="56.25" customHeight="1" x14ac:dyDescent="0.25">
      <c r="C39" s="6" t="s">
        <v>49</v>
      </c>
    </row>
    <row r="41" spans="2:4" ht="15" customHeight="1" x14ac:dyDescent="0.25">
      <c r="B41" s="4" t="s">
        <v>50</v>
      </c>
      <c r="C41" s="5"/>
    </row>
    <row r="42" spans="2:4" ht="15" customHeight="1" x14ac:dyDescent="0.25">
      <c r="B42" s="8" t="s">
        <v>51</v>
      </c>
      <c r="C42" s="8" t="s">
        <v>52</v>
      </c>
      <c r="D42" s="8" t="s">
        <v>53</v>
      </c>
    </row>
    <row r="43" spans="2:4" ht="15" customHeight="1" x14ac:dyDescent="0.25">
      <c r="B43" s="9" t="s">
        <v>54</v>
      </c>
      <c r="C43" s="9">
        <f>VALUE(ZPP_PVAL!G14)+VALUE(ZPP_PVAL!G10)</f>
        <v>105</v>
      </c>
      <c r="D43" s="10">
        <v>105</v>
      </c>
    </row>
    <row r="44" spans="2:4" ht="15" customHeight="1" x14ac:dyDescent="0.25">
      <c r="B44" s="9" t="s">
        <v>55</v>
      </c>
      <c r="C44" s="9">
        <f>VALUE(ZPP_PVAL!G14)-VALUE(ZPP_PVAL!G10)</f>
        <v>95</v>
      </c>
      <c r="D44" s="10">
        <v>95</v>
      </c>
    </row>
    <row r="45" spans="2:4" ht="15" customHeight="1" x14ac:dyDescent="0.25">
      <c r="B45" s="9" t="s">
        <v>56</v>
      </c>
      <c r="C45" s="9">
        <f>0.1*VALUE(ZPP_PVAL!G20)</f>
        <v>30</v>
      </c>
      <c r="D45" s="10">
        <v>30</v>
      </c>
    </row>
    <row r="46" spans="2:4" ht="15" customHeight="1" x14ac:dyDescent="0.25">
      <c r="B46" s="9" t="s">
        <v>57</v>
      </c>
      <c r="C46" s="9">
        <f>0.05*VALUE(ZPP_PVAL!G65)</f>
        <v>55</v>
      </c>
      <c r="D46" s="10">
        <v>55</v>
      </c>
    </row>
    <row r="47" spans="2:4" ht="15" customHeight="1" x14ac:dyDescent="0.25">
      <c r="B47" s="9" t="s">
        <v>58</v>
      </c>
      <c r="C47" s="9">
        <f>VALUE(ZPP_PVAL!G65)+(VALUE(ZPP_PVAL!G65)*0.05)</f>
        <v>1155</v>
      </c>
      <c r="D47" s="10">
        <v>1155</v>
      </c>
    </row>
    <row r="48" spans="2:4" ht="15" customHeight="1" x14ac:dyDescent="0.25">
      <c r="B48" s="9" t="s">
        <v>59</v>
      </c>
      <c r="C48" s="9">
        <f>VALUE(ZPP_PVAL!G65)-(VALUE(ZPP_PVAL!G65)*0.05)</f>
        <v>1045</v>
      </c>
      <c r="D48" s="10">
        <v>1045</v>
      </c>
    </row>
    <row r="49" spans="2:4" ht="15" customHeight="1" x14ac:dyDescent="0.25">
      <c r="B49" s="9" t="s">
        <v>60</v>
      </c>
      <c r="C49" s="9" t="str">
        <f>IF(ZPP_PVAL!G70="Yes",IF(ZPP_PVAL!G71="VCD","When the VCD is "&amp;ZPP_PVAL!G72&amp;" x 10^6","On Production Day "&amp;ZPP_PVAL!G72),"")</f>
        <v>When the VCD is 1.6 x 10^6</v>
      </c>
      <c r="D49" s="10" t="s">
        <v>61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"/>
  <sheetViews>
    <sheetView showGridLines="0" zoomScaleNormal="100" workbookViewId="0">
      <pane ySplit="1" topLeftCell="A2" activePane="bottomLeft" state="frozen"/>
      <selection pane="bottomLeft" activeCell="A3" sqref="A3"/>
    </sheetView>
  </sheetViews>
  <sheetFormatPr defaultColWidth="8.7109375" defaultRowHeight="15" x14ac:dyDescent="0.25"/>
  <cols>
    <col min="1" max="1" width="12" style="1" customWidth="1"/>
    <col min="2" max="2" width="30" style="1" customWidth="1"/>
    <col min="3" max="3" width="72" style="1" customWidth="1"/>
  </cols>
  <sheetData>
    <row r="1" spans="1:3" ht="15" customHeight="1" x14ac:dyDescent="0.25">
      <c r="A1" s="8" t="s">
        <v>62</v>
      </c>
      <c r="B1" s="8" t="s">
        <v>63</v>
      </c>
      <c r="C1" s="8" t="s">
        <v>64</v>
      </c>
    </row>
    <row r="2" spans="1:3" ht="15" customHeight="1" x14ac:dyDescent="0.25">
      <c r="A2" s="11" t="s">
        <v>65</v>
      </c>
      <c r="B2" s="11" t="s">
        <v>66</v>
      </c>
      <c r="C2" s="11" t="s">
        <v>67</v>
      </c>
    </row>
    <row r="3" spans="1:3" ht="23.25" customHeight="1" x14ac:dyDescent="0.25">
      <c r="A3" s="11" t="s">
        <v>68</v>
      </c>
      <c r="B3" s="11" t="s">
        <v>69</v>
      </c>
      <c r="C3" s="11" t="s">
        <v>70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"/>
  <sheetViews>
    <sheetView showGridLines="0" zoomScaleNormal="100" workbookViewId="0">
      <pane ySplit="1" topLeftCell="A2" activePane="bottomLeft" state="frozen"/>
      <selection pane="bottomLeft" activeCell="A4" sqref="A4"/>
    </sheetView>
  </sheetViews>
  <sheetFormatPr defaultColWidth="8.7109375" defaultRowHeight="15" x14ac:dyDescent="0.25"/>
  <cols>
    <col min="1" max="1" width="14" style="1" customWidth="1"/>
    <col min="2" max="2" width="32" style="1" customWidth="1"/>
    <col min="3" max="3" width="22" style="1" customWidth="1"/>
    <col min="4" max="4" width="12" style="1" customWidth="1"/>
  </cols>
  <sheetData>
    <row r="1" spans="1:4" ht="23.25" customHeight="1" x14ac:dyDescent="0.25">
      <c r="A1" s="8" t="s">
        <v>71</v>
      </c>
      <c r="B1" s="8" t="s">
        <v>72</v>
      </c>
      <c r="C1" s="8" t="s">
        <v>73</v>
      </c>
      <c r="D1" s="8" t="s">
        <v>62</v>
      </c>
    </row>
    <row r="2" spans="1:4" ht="15" customHeight="1" x14ac:dyDescent="0.25">
      <c r="A2" s="11" t="s">
        <v>74</v>
      </c>
      <c r="B2" s="11" t="s">
        <v>75</v>
      </c>
      <c r="C2" s="11" t="s">
        <v>76</v>
      </c>
      <c r="D2" s="11" t="s">
        <v>65</v>
      </c>
    </row>
    <row r="3" spans="1:4" ht="15" customHeight="1" x14ac:dyDescent="0.25">
      <c r="A3" s="11" t="s">
        <v>77</v>
      </c>
      <c r="B3" s="11" t="s">
        <v>78</v>
      </c>
      <c r="C3" s="11" t="s">
        <v>79</v>
      </c>
      <c r="D3" s="11" t="s">
        <v>65</v>
      </c>
    </row>
    <row r="4" spans="1:4" ht="15" customHeight="1" x14ac:dyDescent="0.25">
      <c r="A4" s="11" t="s">
        <v>80</v>
      </c>
      <c r="B4" s="11" t="s">
        <v>81</v>
      </c>
      <c r="C4" s="11" t="s">
        <v>82</v>
      </c>
      <c r="D4" s="11" t="s">
        <v>68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77"/>
  <sheetViews>
    <sheetView showGridLines="0" zoomScaleNormal="100" workbookViewId="0">
      <pane xSplit="2" ySplit="1" topLeftCell="D2" activePane="bottomRight" state="frozen"/>
      <selection pane="topRight" activeCell="C1" sqref="C1"/>
      <selection pane="bottomLeft" activeCell="A2" sqref="A2"/>
      <selection pane="bottomRight"/>
    </sheetView>
  </sheetViews>
  <sheetFormatPr defaultColWidth="8.7109375" defaultRowHeight="15" x14ac:dyDescent="0.25"/>
  <cols>
    <col min="1" max="1" width="24" style="1" customWidth="1"/>
    <col min="2" max="2" width="11" style="1" customWidth="1"/>
    <col min="3" max="3" width="18" style="22" customWidth="1"/>
    <col min="4" max="4" width="21" style="1" customWidth="1"/>
    <col min="5" max="5" width="46" style="1" customWidth="1"/>
    <col min="6" max="6" width="15.85546875" style="1" customWidth="1"/>
    <col min="7" max="7" width="9" style="1" customWidth="1"/>
    <col min="8" max="8" width="11" style="1" customWidth="1"/>
    <col min="9" max="9" width="8" style="1" customWidth="1"/>
    <col min="10" max="10" width="40" style="1" customWidth="1"/>
    <col min="11" max="11" width="14" style="1" customWidth="1"/>
    <col min="12" max="12" width="16" style="1" customWidth="1"/>
    <col min="13" max="13" width="10" style="1" customWidth="1"/>
    <col min="14" max="14" width="8.7109375" style="1" bestFit="1" customWidth="1"/>
    <col min="15" max="15" width="9" style="1" customWidth="1"/>
    <col min="16" max="16" width="26" style="1" customWidth="1"/>
  </cols>
  <sheetData>
    <row r="1" spans="1:16" ht="23.25" customHeight="1" x14ac:dyDescent="0.25">
      <c r="A1" s="8" t="s">
        <v>83</v>
      </c>
      <c r="B1" s="8" t="s">
        <v>62</v>
      </c>
      <c r="C1" s="18" t="s">
        <v>84</v>
      </c>
      <c r="D1" s="8" t="s">
        <v>85</v>
      </c>
      <c r="E1" s="8" t="s">
        <v>86</v>
      </c>
      <c r="F1" s="8" t="s">
        <v>87</v>
      </c>
      <c r="G1" s="8" t="s">
        <v>88</v>
      </c>
      <c r="H1" s="8" t="s">
        <v>89</v>
      </c>
      <c r="I1" s="8" t="s">
        <v>90</v>
      </c>
      <c r="J1" s="8" t="s">
        <v>91</v>
      </c>
      <c r="K1" s="8" t="s">
        <v>92</v>
      </c>
      <c r="L1" s="8" t="s">
        <v>93</v>
      </c>
      <c r="M1" s="8" t="s">
        <v>94</v>
      </c>
      <c r="N1" s="8" t="s">
        <v>95</v>
      </c>
      <c r="O1" s="8" t="s">
        <v>96</v>
      </c>
      <c r="P1" s="8" t="s">
        <v>97</v>
      </c>
    </row>
    <row r="2" spans="1:16" ht="15" customHeight="1" x14ac:dyDescent="0.25">
      <c r="A2" s="11" t="s">
        <v>98</v>
      </c>
      <c r="B2" s="11" t="s">
        <v>65</v>
      </c>
      <c r="C2" s="19" t="s">
        <v>99</v>
      </c>
      <c r="D2" s="11" t="s">
        <v>100</v>
      </c>
      <c r="E2" s="11" t="s">
        <v>101</v>
      </c>
      <c r="F2" s="11" t="s">
        <v>102</v>
      </c>
      <c r="G2" s="11" t="s">
        <v>103</v>
      </c>
      <c r="H2" s="11" t="s">
        <v>104</v>
      </c>
      <c r="I2" s="11"/>
      <c r="J2" s="11"/>
      <c r="K2" s="11"/>
      <c r="L2" s="11"/>
      <c r="M2" s="11"/>
      <c r="N2" s="11"/>
      <c r="O2" s="11"/>
      <c r="P2" s="11" t="s">
        <v>105</v>
      </c>
    </row>
    <row r="3" spans="1:16" ht="23.25" customHeight="1" x14ac:dyDescent="0.25">
      <c r="A3" s="11" t="s">
        <v>106</v>
      </c>
      <c r="B3" s="11" t="s">
        <v>65</v>
      </c>
      <c r="C3" s="19" t="s">
        <v>107</v>
      </c>
      <c r="D3" s="11" t="s">
        <v>108</v>
      </c>
      <c r="E3" s="11" t="s">
        <v>109</v>
      </c>
      <c r="F3" s="11" t="s">
        <v>102</v>
      </c>
      <c r="G3" s="11" t="s">
        <v>110</v>
      </c>
      <c r="H3" s="11" t="s">
        <v>104</v>
      </c>
      <c r="I3" s="11"/>
      <c r="J3" s="11"/>
      <c r="K3" s="11"/>
      <c r="L3" s="11"/>
      <c r="M3" s="11"/>
      <c r="N3" s="11"/>
      <c r="O3" s="11"/>
      <c r="P3" s="11" t="s">
        <v>111</v>
      </c>
    </row>
    <row r="4" spans="1:16" ht="23.25" customHeight="1" x14ac:dyDescent="0.25">
      <c r="A4" s="11" t="s">
        <v>112</v>
      </c>
      <c r="B4" s="11" t="s">
        <v>65</v>
      </c>
      <c r="C4" s="19" t="s">
        <v>107</v>
      </c>
      <c r="D4" s="11" t="s">
        <v>108</v>
      </c>
      <c r="E4" s="11" t="s">
        <v>113</v>
      </c>
      <c r="F4" s="11" t="s">
        <v>102</v>
      </c>
      <c r="G4" s="11" t="s">
        <v>110</v>
      </c>
      <c r="H4" s="11" t="s">
        <v>104</v>
      </c>
      <c r="I4" s="11"/>
      <c r="J4" s="11"/>
      <c r="K4" s="11"/>
      <c r="L4" s="11"/>
      <c r="M4" s="11"/>
      <c r="N4" s="11"/>
      <c r="O4" s="11"/>
      <c r="P4" s="11" t="s">
        <v>114</v>
      </c>
    </row>
    <row r="5" spans="1:16" ht="23.25" customHeight="1" x14ac:dyDescent="0.25">
      <c r="A5" s="11" t="s">
        <v>115</v>
      </c>
      <c r="B5" s="11" t="s">
        <v>65</v>
      </c>
      <c r="C5" s="19" t="s">
        <v>116</v>
      </c>
      <c r="D5" s="11" t="s">
        <v>117</v>
      </c>
      <c r="E5" s="11" t="s">
        <v>118</v>
      </c>
      <c r="F5" s="11" t="s">
        <v>119</v>
      </c>
      <c r="G5" s="11" t="s">
        <v>120</v>
      </c>
      <c r="H5" s="11" t="s">
        <v>104</v>
      </c>
      <c r="I5" s="11"/>
      <c r="J5" s="11"/>
      <c r="K5" s="11"/>
      <c r="L5" s="11"/>
      <c r="M5" s="11"/>
      <c r="N5" s="11"/>
      <c r="O5" s="11"/>
      <c r="P5" s="11" t="s">
        <v>121</v>
      </c>
    </row>
    <row r="6" spans="1:16" ht="15" customHeight="1" x14ac:dyDescent="0.25">
      <c r="A6" s="11" t="s">
        <v>122</v>
      </c>
      <c r="B6" s="11" t="s">
        <v>65</v>
      </c>
      <c r="C6" s="19" t="s">
        <v>99</v>
      </c>
      <c r="D6" s="11" t="s">
        <v>100</v>
      </c>
      <c r="E6" s="11" t="s">
        <v>123</v>
      </c>
      <c r="F6" s="11" t="s">
        <v>102</v>
      </c>
      <c r="G6" s="11" t="s">
        <v>103</v>
      </c>
      <c r="H6" s="11" t="s">
        <v>104</v>
      </c>
      <c r="I6" s="11"/>
      <c r="J6" s="11"/>
      <c r="K6" s="11"/>
      <c r="L6" s="11"/>
      <c r="M6" s="11"/>
      <c r="N6" s="11"/>
      <c r="O6" s="11"/>
      <c r="P6" s="11" t="s">
        <v>124</v>
      </c>
    </row>
    <row r="7" spans="1:16" ht="23.25" customHeight="1" x14ac:dyDescent="0.25">
      <c r="A7" s="11" t="s">
        <v>125</v>
      </c>
      <c r="B7" s="11" t="s">
        <v>65</v>
      </c>
      <c r="C7" s="19" t="s">
        <v>116</v>
      </c>
      <c r="D7" s="11" t="s">
        <v>117</v>
      </c>
      <c r="E7" s="11" t="s">
        <v>126</v>
      </c>
      <c r="F7" s="11" t="s">
        <v>119</v>
      </c>
      <c r="G7" s="11" t="s">
        <v>120</v>
      </c>
      <c r="H7" s="11" t="s">
        <v>104</v>
      </c>
      <c r="I7" s="11"/>
      <c r="J7" s="11"/>
      <c r="K7" s="11"/>
      <c r="L7" s="11"/>
      <c r="M7" s="11"/>
      <c r="N7" s="11"/>
      <c r="O7" s="11"/>
      <c r="P7" s="11" t="s">
        <v>127</v>
      </c>
    </row>
    <row r="8" spans="1:16" ht="23.25" customHeight="1" x14ac:dyDescent="0.25">
      <c r="A8" s="12" t="s">
        <v>128</v>
      </c>
      <c r="B8" s="12" t="s">
        <v>65</v>
      </c>
      <c r="C8" s="20" t="s">
        <v>107</v>
      </c>
      <c r="D8" s="12" t="s">
        <v>129</v>
      </c>
      <c r="E8" s="12" t="s">
        <v>130</v>
      </c>
      <c r="F8" s="12" t="s">
        <v>131</v>
      </c>
      <c r="G8" s="12" t="s">
        <v>132</v>
      </c>
      <c r="H8" s="12" t="s">
        <v>133</v>
      </c>
      <c r="I8" s="12" t="s">
        <v>134</v>
      </c>
      <c r="J8" s="12" t="s">
        <v>135</v>
      </c>
      <c r="K8" s="12"/>
      <c r="L8" s="12"/>
      <c r="M8" s="12"/>
      <c r="N8" s="12"/>
      <c r="O8" s="12"/>
      <c r="P8" s="12" t="s">
        <v>136</v>
      </c>
    </row>
    <row r="9" spans="1:16" ht="23.25" customHeight="1" x14ac:dyDescent="0.25">
      <c r="A9" s="12" t="s">
        <v>137</v>
      </c>
      <c r="B9" s="12" t="s">
        <v>65</v>
      </c>
      <c r="C9" s="20" t="s">
        <v>107</v>
      </c>
      <c r="D9" s="12" t="s">
        <v>129</v>
      </c>
      <c r="E9" s="12" t="s">
        <v>138</v>
      </c>
      <c r="F9" s="12" t="s">
        <v>131</v>
      </c>
      <c r="G9" s="12" t="s">
        <v>132</v>
      </c>
      <c r="H9" s="12" t="s">
        <v>133</v>
      </c>
      <c r="I9" s="12" t="s">
        <v>134</v>
      </c>
      <c r="J9" s="12" t="s">
        <v>139</v>
      </c>
      <c r="K9" s="12"/>
      <c r="L9" s="12"/>
      <c r="M9" s="12"/>
      <c r="N9" s="12"/>
      <c r="O9" s="12"/>
      <c r="P9" s="12" t="s">
        <v>140</v>
      </c>
    </row>
    <row r="10" spans="1:16" ht="15" customHeight="1" x14ac:dyDescent="0.25">
      <c r="A10" s="11" t="s">
        <v>141</v>
      </c>
      <c r="B10" s="11" t="s">
        <v>65</v>
      </c>
      <c r="C10" s="19" t="s">
        <v>107</v>
      </c>
      <c r="D10" s="11" t="s">
        <v>108</v>
      </c>
      <c r="E10" s="11" t="s">
        <v>142</v>
      </c>
      <c r="F10" s="11" t="s">
        <v>131</v>
      </c>
      <c r="G10" s="11" t="s">
        <v>132</v>
      </c>
      <c r="H10" s="11" t="s">
        <v>104</v>
      </c>
      <c r="I10" s="11"/>
      <c r="J10" s="11"/>
      <c r="K10" s="11"/>
      <c r="L10" s="11"/>
      <c r="M10" s="11"/>
      <c r="N10" s="11"/>
      <c r="O10" s="11"/>
      <c r="P10" s="11" t="s">
        <v>143</v>
      </c>
    </row>
    <row r="11" spans="1:16" ht="15" customHeight="1" x14ac:dyDescent="0.25">
      <c r="A11" s="11" t="s">
        <v>144</v>
      </c>
      <c r="B11" s="11" t="s">
        <v>65</v>
      </c>
      <c r="C11" s="19" t="s">
        <v>107</v>
      </c>
      <c r="D11" s="11" t="s">
        <v>108</v>
      </c>
      <c r="E11" s="11" t="s">
        <v>145</v>
      </c>
      <c r="F11" s="11" t="s">
        <v>102</v>
      </c>
      <c r="G11" s="11" t="s">
        <v>132</v>
      </c>
      <c r="H11" s="11" t="s">
        <v>104</v>
      </c>
      <c r="I11" s="11"/>
      <c r="J11" s="11"/>
      <c r="K11" s="11"/>
      <c r="L11" s="11"/>
      <c r="M11" s="11"/>
      <c r="N11" s="11"/>
      <c r="O11" s="11"/>
      <c r="P11" s="11" t="s">
        <v>146</v>
      </c>
    </row>
    <row r="12" spans="1:16" ht="15" customHeight="1" x14ac:dyDescent="0.25">
      <c r="A12" s="11" t="s">
        <v>147</v>
      </c>
      <c r="B12" s="11" t="s">
        <v>65</v>
      </c>
      <c r="C12" s="19" t="s">
        <v>107</v>
      </c>
      <c r="D12" s="11" t="s">
        <v>108</v>
      </c>
      <c r="E12" s="11" t="s">
        <v>148</v>
      </c>
      <c r="F12" s="11" t="s">
        <v>102</v>
      </c>
      <c r="G12" s="11" t="s">
        <v>132</v>
      </c>
      <c r="H12" s="11" t="s">
        <v>104</v>
      </c>
      <c r="I12" s="11"/>
      <c r="J12" s="11"/>
      <c r="K12" s="11"/>
      <c r="L12" s="11"/>
      <c r="M12" s="11"/>
      <c r="N12" s="11"/>
      <c r="O12" s="11"/>
      <c r="P12" s="11" t="s">
        <v>149</v>
      </c>
    </row>
    <row r="13" spans="1:16" ht="15" customHeight="1" x14ac:dyDescent="0.25">
      <c r="A13" s="11" t="s">
        <v>150</v>
      </c>
      <c r="B13" s="11" t="s">
        <v>65</v>
      </c>
      <c r="C13" s="19" t="s">
        <v>107</v>
      </c>
      <c r="D13" s="11" t="s">
        <v>108</v>
      </c>
      <c r="E13" s="11" t="s">
        <v>151</v>
      </c>
      <c r="F13" s="11" t="s">
        <v>102</v>
      </c>
      <c r="G13" s="11" t="s">
        <v>132</v>
      </c>
      <c r="H13" s="11" t="s">
        <v>104</v>
      </c>
      <c r="I13" s="11"/>
      <c r="J13" s="11"/>
      <c r="K13" s="11"/>
      <c r="L13" s="11"/>
      <c r="M13" s="11"/>
      <c r="N13" s="11"/>
      <c r="O13" s="11"/>
      <c r="P13" s="11" t="s">
        <v>152</v>
      </c>
    </row>
    <row r="14" spans="1:16" ht="15" customHeight="1" x14ac:dyDescent="0.25">
      <c r="A14" s="11" t="s">
        <v>153</v>
      </c>
      <c r="B14" s="11" t="s">
        <v>65</v>
      </c>
      <c r="C14" s="19" t="s">
        <v>107</v>
      </c>
      <c r="D14" s="11" t="s">
        <v>100</v>
      </c>
      <c r="E14" s="11" t="s">
        <v>154</v>
      </c>
      <c r="F14" s="11" t="s">
        <v>131</v>
      </c>
      <c r="G14" s="11" t="s">
        <v>132</v>
      </c>
      <c r="H14" s="11" t="s">
        <v>104</v>
      </c>
      <c r="I14" s="11"/>
      <c r="J14" s="11"/>
      <c r="K14" s="11"/>
      <c r="L14" s="11"/>
      <c r="M14" s="11"/>
      <c r="N14" s="11"/>
      <c r="O14" s="11"/>
      <c r="P14" s="11" t="s">
        <v>155</v>
      </c>
    </row>
    <row r="15" spans="1:16" ht="15" customHeight="1" x14ac:dyDescent="0.25">
      <c r="A15" s="11" t="s">
        <v>156</v>
      </c>
      <c r="B15" s="11" t="s">
        <v>65</v>
      </c>
      <c r="C15" s="19" t="s">
        <v>107</v>
      </c>
      <c r="D15" s="11" t="s">
        <v>100</v>
      </c>
      <c r="E15" s="11" t="s">
        <v>157</v>
      </c>
      <c r="F15" s="11" t="s">
        <v>131</v>
      </c>
      <c r="G15" s="11" t="s">
        <v>132</v>
      </c>
      <c r="H15" s="11" t="s">
        <v>104</v>
      </c>
      <c r="I15" s="11"/>
      <c r="J15" s="11"/>
      <c r="K15" s="11"/>
      <c r="L15" s="11"/>
      <c r="M15" s="11"/>
      <c r="N15" s="11"/>
      <c r="O15" s="11"/>
      <c r="P15" s="11" t="s">
        <v>158</v>
      </c>
    </row>
    <row r="16" spans="1:16" ht="23.25" customHeight="1" x14ac:dyDescent="0.25">
      <c r="A16" s="11" t="s">
        <v>159</v>
      </c>
      <c r="B16" s="11" t="s">
        <v>65</v>
      </c>
      <c r="C16" s="19" t="s">
        <v>107</v>
      </c>
      <c r="D16" s="11" t="s">
        <v>117</v>
      </c>
      <c r="E16" s="11" t="s">
        <v>160</v>
      </c>
      <c r="F16" s="11" t="s">
        <v>119</v>
      </c>
      <c r="G16" s="11" t="s">
        <v>120</v>
      </c>
      <c r="H16" s="11" t="s">
        <v>104</v>
      </c>
      <c r="I16" s="11"/>
      <c r="J16" s="11"/>
      <c r="K16" s="11"/>
      <c r="L16" s="11"/>
      <c r="M16" s="11"/>
      <c r="N16" s="11"/>
      <c r="O16" s="11"/>
      <c r="P16" s="11" t="s">
        <v>161</v>
      </c>
    </row>
    <row r="17" spans="1:16" ht="23.25" customHeight="1" x14ac:dyDescent="0.25">
      <c r="A17" s="11" t="s">
        <v>162</v>
      </c>
      <c r="B17" s="11" t="s">
        <v>65</v>
      </c>
      <c r="C17" s="19" t="s">
        <v>107</v>
      </c>
      <c r="D17" s="11" t="s">
        <v>117</v>
      </c>
      <c r="E17" s="11" t="s">
        <v>163</v>
      </c>
      <c r="F17" s="11" t="s">
        <v>119</v>
      </c>
      <c r="G17" s="11" t="s">
        <v>120</v>
      </c>
      <c r="H17" s="11" t="s">
        <v>104</v>
      </c>
      <c r="I17" s="11"/>
      <c r="J17" s="11"/>
      <c r="K17" s="11"/>
      <c r="L17" s="11"/>
      <c r="M17" s="11"/>
      <c r="N17" s="11"/>
      <c r="O17" s="11"/>
      <c r="P17" s="11" t="s">
        <v>164</v>
      </c>
    </row>
    <row r="18" spans="1:16" ht="15" customHeight="1" x14ac:dyDescent="0.25">
      <c r="A18" s="11" t="s">
        <v>165</v>
      </c>
      <c r="B18" s="11" t="s">
        <v>65</v>
      </c>
      <c r="C18" s="19" t="s">
        <v>107</v>
      </c>
      <c r="D18" s="11" t="s">
        <v>100</v>
      </c>
      <c r="E18" s="11" t="s">
        <v>166</v>
      </c>
      <c r="F18" s="11" t="s">
        <v>131</v>
      </c>
      <c r="G18" s="11" t="s">
        <v>132</v>
      </c>
      <c r="H18" s="11" t="s">
        <v>104</v>
      </c>
      <c r="I18" s="11"/>
      <c r="J18" s="11"/>
      <c r="K18" s="11"/>
      <c r="L18" s="11"/>
      <c r="M18" s="11"/>
      <c r="N18" s="11"/>
      <c r="O18" s="11"/>
      <c r="P18" s="11" t="s">
        <v>167</v>
      </c>
    </row>
    <row r="19" spans="1:16" ht="23.25" customHeight="1" x14ac:dyDescent="0.25">
      <c r="A19" s="12" t="s">
        <v>168</v>
      </c>
      <c r="B19" s="12" t="s">
        <v>65</v>
      </c>
      <c r="C19" s="20" t="s">
        <v>107</v>
      </c>
      <c r="D19" s="12" t="s">
        <v>129</v>
      </c>
      <c r="E19" s="12" t="s">
        <v>169</v>
      </c>
      <c r="F19" s="12" t="s">
        <v>131</v>
      </c>
      <c r="G19" s="12" t="s">
        <v>132</v>
      </c>
      <c r="H19" s="12" t="s">
        <v>133</v>
      </c>
      <c r="I19" s="12" t="s">
        <v>134</v>
      </c>
      <c r="J19" s="12" t="s">
        <v>170</v>
      </c>
      <c r="K19" s="12"/>
      <c r="L19" s="12"/>
      <c r="M19" s="12"/>
      <c r="N19" s="12"/>
      <c r="O19" s="12"/>
      <c r="P19" s="12" t="s">
        <v>171</v>
      </c>
    </row>
    <row r="20" spans="1:16" ht="23.25" customHeight="1" x14ac:dyDescent="0.25">
      <c r="A20" s="11" t="s">
        <v>172</v>
      </c>
      <c r="B20" s="11" t="s">
        <v>65</v>
      </c>
      <c r="C20" s="19" t="s">
        <v>107</v>
      </c>
      <c r="D20" s="11" t="s">
        <v>100</v>
      </c>
      <c r="E20" s="11" t="s">
        <v>173</v>
      </c>
      <c r="F20" s="11" t="s">
        <v>131</v>
      </c>
      <c r="G20" s="11" t="s">
        <v>132</v>
      </c>
      <c r="H20" s="11" t="s">
        <v>104</v>
      </c>
      <c r="I20" s="11"/>
      <c r="J20" s="11"/>
      <c r="K20" s="11"/>
      <c r="L20" s="11"/>
      <c r="M20" s="11"/>
      <c r="N20" s="11"/>
      <c r="O20" s="11"/>
      <c r="P20" s="11" t="s">
        <v>174</v>
      </c>
    </row>
    <row r="21" spans="1:16" ht="15" customHeight="1" x14ac:dyDescent="0.25">
      <c r="A21" s="12" t="s">
        <v>175</v>
      </c>
      <c r="B21" s="12" t="s">
        <v>65</v>
      </c>
      <c r="C21" s="20" t="s">
        <v>107</v>
      </c>
      <c r="D21" s="12" t="s">
        <v>129</v>
      </c>
      <c r="E21" s="12" t="s">
        <v>176</v>
      </c>
      <c r="F21" s="12" t="s">
        <v>131</v>
      </c>
      <c r="G21" s="12" t="s">
        <v>132</v>
      </c>
      <c r="H21" s="12" t="s">
        <v>133</v>
      </c>
      <c r="I21" s="12" t="s">
        <v>134</v>
      </c>
      <c r="J21" s="12" t="s">
        <v>177</v>
      </c>
      <c r="K21" s="12"/>
      <c r="L21" s="12"/>
      <c r="M21" s="12"/>
      <c r="N21" s="12"/>
      <c r="O21" s="12"/>
      <c r="P21" s="12" t="s">
        <v>178</v>
      </c>
    </row>
    <row r="22" spans="1:16" ht="15" customHeight="1" x14ac:dyDescent="0.25">
      <c r="A22" s="11" t="s">
        <v>179</v>
      </c>
      <c r="B22" s="11" t="s">
        <v>65</v>
      </c>
      <c r="C22" s="19" t="s">
        <v>107</v>
      </c>
      <c r="D22" s="11" t="s">
        <v>100</v>
      </c>
      <c r="E22" s="11" t="s">
        <v>180</v>
      </c>
      <c r="F22" s="11" t="s">
        <v>131</v>
      </c>
      <c r="G22" s="11" t="s">
        <v>132</v>
      </c>
      <c r="H22" s="11" t="s">
        <v>104</v>
      </c>
      <c r="I22" s="11"/>
      <c r="J22" s="11"/>
      <c r="K22" s="11"/>
      <c r="L22" s="11"/>
      <c r="M22" s="11"/>
      <c r="N22" s="11"/>
      <c r="O22" s="11"/>
      <c r="P22" s="11" t="s">
        <v>155</v>
      </c>
    </row>
    <row r="23" spans="1:16" ht="15" customHeight="1" x14ac:dyDescent="0.25">
      <c r="A23" s="11" t="s">
        <v>181</v>
      </c>
      <c r="B23" s="11" t="s">
        <v>65</v>
      </c>
      <c r="C23" s="19" t="s">
        <v>182</v>
      </c>
      <c r="D23" s="11" t="s">
        <v>108</v>
      </c>
      <c r="E23" s="11" t="s">
        <v>183</v>
      </c>
      <c r="F23" s="11" t="s">
        <v>102</v>
      </c>
      <c r="G23" s="11" t="s">
        <v>184</v>
      </c>
      <c r="H23" s="11" t="s">
        <v>104</v>
      </c>
      <c r="I23" s="11"/>
      <c r="J23" s="11"/>
      <c r="K23" s="11"/>
      <c r="L23" s="11"/>
      <c r="M23" s="11"/>
      <c r="N23" s="11"/>
      <c r="O23" s="11"/>
      <c r="P23" s="11" t="s">
        <v>185</v>
      </c>
    </row>
    <row r="24" spans="1:16" ht="23.25" customHeight="1" x14ac:dyDescent="0.25">
      <c r="A24" s="11" t="s">
        <v>186</v>
      </c>
      <c r="B24" s="11" t="s">
        <v>65</v>
      </c>
      <c r="C24" s="19" t="s">
        <v>116</v>
      </c>
      <c r="D24" s="11" t="s">
        <v>117</v>
      </c>
      <c r="E24" s="11" t="s">
        <v>187</v>
      </c>
      <c r="F24" s="11" t="s">
        <v>119</v>
      </c>
      <c r="G24" s="11" t="s">
        <v>120</v>
      </c>
      <c r="H24" s="11" t="s">
        <v>104</v>
      </c>
      <c r="I24" s="11"/>
      <c r="J24" s="11"/>
      <c r="K24" s="11"/>
      <c r="L24" s="11"/>
      <c r="M24" s="11"/>
      <c r="N24" s="11"/>
      <c r="O24" s="11"/>
      <c r="P24" s="11" t="s">
        <v>188</v>
      </c>
    </row>
    <row r="25" spans="1:16" ht="23.25" customHeight="1" x14ac:dyDescent="0.25">
      <c r="A25" s="11" t="s">
        <v>189</v>
      </c>
      <c r="B25" s="11" t="s">
        <v>65</v>
      </c>
      <c r="C25" s="19" t="s">
        <v>116</v>
      </c>
      <c r="D25" s="11" t="s">
        <v>117</v>
      </c>
      <c r="E25" s="11" t="s">
        <v>190</v>
      </c>
      <c r="F25" s="11" t="s">
        <v>119</v>
      </c>
      <c r="G25" s="11" t="s">
        <v>120</v>
      </c>
      <c r="H25" s="11" t="s">
        <v>104</v>
      </c>
      <c r="I25" s="11"/>
      <c r="J25" s="11"/>
      <c r="K25" s="11"/>
      <c r="L25" s="11"/>
      <c r="M25" s="11"/>
      <c r="N25" s="11"/>
      <c r="O25" s="11"/>
      <c r="P25" s="11" t="s">
        <v>164</v>
      </c>
    </row>
    <row r="26" spans="1:16" ht="15" customHeight="1" x14ac:dyDescent="0.25">
      <c r="A26" s="11" t="s">
        <v>191</v>
      </c>
      <c r="B26" s="11" t="s">
        <v>65</v>
      </c>
      <c r="C26" s="19" t="s">
        <v>192</v>
      </c>
      <c r="D26" s="11" t="s">
        <v>193</v>
      </c>
      <c r="E26" s="11" t="s">
        <v>194</v>
      </c>
      <c r="F26" s="11" t="s">
        <v>195</v>
      </c>
      <c r="G26" s="11" t="s">
        <v>120</v>
      </c>
      <c r="H26" s="11" t="s">
        <v>196</v>
      </c>
      <c r="I26" s="11"/>
      <c r="J26" s="11"/>
      <c r="K26" s="11"/>
      <c r="L26" s="11"/>
      <c r="M26" s="11"/>
      <c r="N26" s="11"/>
      <c r="O26" s="11"/>
      <c r="P26" s="11" t="s">
        <v>197</v>
      </c>
    </row>
    <row r="27" spans="1:16" ht="23.25" customHeight="1" x14ac:dyDescent="0.25">
      <c r="A27" s="11" t="s">
        <v>198</v>
      </c>
      <c r="B27" s="11" t="s">
        <v>65</v>
      </c>
      <c r="C27" s="19" t="s">
        <v>116</v>
      </c>
      <c r="D27" s="11" t="s">
        <v>117</v>
      </c>
      <c r="E27" s="11" t="s">
        <v>199</v>
      </c>
      <c r="F27" s="11" t="s">
        <v>119</v>
      </c>
      <c r="G27" s="11" t="s">
        <v>120</v>
      </c>
      <c r="H27" s="11" t="s">
        <v>104</v>
      </c>
      <c r="I27" s="11"/>
      <c r="J27" s="11"/>
      <c r="K27" s="11"/>
      <c r="L27" s="11"/>
      <c r="M27" s="11"/>
      <c r="N27" s="11"/>
      <c r="O27" s="11"/>
      <c r="P27" s="11" t="s">
        <v>164</v>
      </c>
    </row>
    <row r="28" spans="1:16" ht="23.25" customHeight="1" x14ac:dyDescent="0.25">
      <c r="A28" s="11" t="s">
        <v>200</v>
      </c>
      <c r="B28" s="11" t="s">
        <v>65</v>
      </c>
      <c r="C28" s="19" t="s">
        <v>116</v>
      </c>
      <c r="D28" s="11" t="s">
        <v>117</v>
      </c>
      <c r="E28" s="11" t="s">
        <v>201</v>
      </c>
      <c r="F28" s="11" t="s">
        <v>119</v>
      </c>
      <c r="G28" s="11" t="s">
        <v>120</v>
      </c>
      <c r="H28" s="11" t="s">
        <v>104</v>
      </c>
      <c r="I28" s="11"/>
      <c r="J28" s="11"/>
      <c r="K28" s="11"/>
      <c r="L28" s="11"/>
      <c r="M28" s="11"/>
      <c r="N28" s="11"/>
      <c r="O28" s="11"/>
      <c r="P28" s="11" t="s">
        <v>188</v>
      </c>
    </row>
    <row r="29" spans="1:16" ht="23.25" customHeight="1" x14ac:dyDescent="0.25">
      <c r="A29" s="11" t="s">
        <v>202</v>
      </c>
      <c r="B29" s="11" t="s">
        <v>65</v>
      </c>
      <c r="C29" s="19" t="s">
        <v>116</v>
      </c>
      <c r="D29" s="11" t="s">
        <v>117</v>
      </c>
      <c r="E29" s="11" t="s">
        <v>203</v>
      </c>
      <c r="F29" s="11" t="s">
        <v>119</v>
      </c>
      <c r="G29" s="11" t="s">
        <v>120</v>
      </c>
      <c r="H29" s="11" t="s">
        <v>104</v>
      </c>
      <c r="I29" s="11"/>
      <c r="J29" s="11"/>
      <c r="K29" s="11"/>
      <c r="L29" s="11"/>
      <c r="M29" s="11"/>
      <c r="N29" s="11"/>
      <c r="O29" s="11"/>
      <c r="P29" s="11" t="s">
        <v>164</v>
      </c>
    </row>
    <row r="30" spans="1:16" ht="23.25" customHeight="1" x14ac:dyDescent="0.25">
      <c r="A30" s="11" t="s">
        <v>204</v>
      </c>
      <c r="B30" s="11" t="s">
        <v>65</v>
      </c>
      <c r="C30" s="19" t="s">
        <v>116</v>
      </c>
      <c r="D30" s="11" t="s">
        <v>117</v>
      </c>
      <c r="E30" s="11" t="s">
        <v>205</v>
      </c>
      <c r="F30" s="11" t="s">
        <v>119</v>
      </c>
      <c r="G30" s="11" t="s">
        <v>120</v>
      </c>
      <c r="H30" s="11" t="s">
        <v>104</v>
      </c>
      <c r="I30" s="11"/>
      <c r="J30" s="11"/>
      <c r="K30" s="11"/>
      <c r="L30" s="11"/>
      <c r="M30" s="11"/>
      <c r="N30" s="11"/>
      <c r="O30" s="11"/>
      <c r="P30" s="11" t="s">
        <v>206</v>
      </c>
    </row>
    <row r="31" spans="1:16" ht="15" customHeight="1" x14ac:dyDescent="0.25">
      <c r="A31" s="11" t="s">
        <v>207</v>
      </c>
      <c r="B31" s="11" t="s">
        <v>65</v>
      </c>
      <c r="C31" s="19" t="s">
        <v>99</v>
      </c>
      <c r="D31" s="11" t="s">
        <v>100</v>
      </c>
      <c r="E31" s="11" t="s">
        <v>208</v>
      </c>
      <c r="F31" s="11" t="s">
        <v>102</v>
      </c>
      <c r="G31" s="11" t="s">
        <v>103</v>
      </c>
      <c r="H31" s="11" t="s">
        <v>104</v>
      </c>
      <c r="I31" s="11"/>
      <c r="J31" s="11"/>
      <c r="K31" s="11"/>
      <c r="L31" s="11"/>
      <c r="M31" s="11"/>
      <c r="N31" s="11"/>
      <c r="O31" s="11"/>
      <c r="P31" s="11" t="s">
        <v>209</v>
      </c>
    </row>
    <row r="32" spans="1:16" ht="15" customHeight="1" x14ac:dyDescent="0.25">
      <c r="A32" s="11" t="s">
        <v>210</v>
      </c>
      <c r="B32" s="11" t="s">
        <v>65</v>
      </c>
      <c r="C32" s="19" t="s">
        <v>99</v>
      </c>
      <c r="D32" s="11" t="s">
        <v>100</v>
      </c>
      <c r="E32" s="11" t="s">
        <v>211</v>
      </c>
      <c r="F32" s="11" t="s">
        <v>102</v>
      </c>
      <c r="G32" s="11" t="s">
        <v>103</v>
      </c>
      <c r="H32" s="11" t="s">
        <v>104</v>
      </c>
      <c r="I32" s="11"/>
      <c r="J32" s="11"/>
      <c r="K32" s="11"/>
      <c r="L32" s="11"/>
      <c r="M32" s="11"/>
      <c r="N32" s="11"/>
      <c r="O32" s="11"/>
      <c r="P32" s="11" t="s">
        <v>105</v>
      </c>
    </row>
    <row r="33" spans="1:16" ht="15" customHeight="1" x14ac:dyDescent="0.25">
      <c r="A33" s="11" t="s">
        <v>212</v>
      </c>
      <c r="B33" s="11" t="s">
        <v>65</v>
      </c>
      <c r="C33" s="19" t="s">
        <v>192</v>
      </c>
      <c r="D33" s="11" t="s">
        <v>108</v>
      </c>
      <c r="E33" s="11" t="s">
        <v>213</v>
      </c>
      <c r="F33" s="11" t="s">
        <v>131</v>
      </c>
      <c r="G33" s="11" t="s">
        <v>214</v>
      </c>
      <c r="H33" s="11" t="s">
        <v>104</v>
      </c>
      <c r="I33" s="11"/>
      <c r="J33" s="11"/>
      <c r="K33" s="11"/>
      <c r="L33" s="11"/>
      <c r="M33" s="11"/>
      <c r="N33" s="11"/>
      <c r="O33" s="11"/>
      <c r="P33" s="11" t="s">
        <v>215</v>
      </c>
    </row>
    <row r="34" spans="1:16" ht="15" customHeight="1" x14ac:dyDescent="0.25">
      <c r="A34" s="11" t="s">
        <v>216</v>
      </c>
      <c r="B34" s="11" t="s">
        <v>65</v>
      </c>
      <c r="C34" s="19" t="s">
        <v>192</v>
      </c>
      <c r="D34" s="11" t="s">
        <v>108</v>
      </c>
      <c r="E34" s="11" t="s">
        <v>217</v>
      </c>
      <c r="F34" s="11" t="s">
        <v>131</v>
      </c>
      <c r="G34" s="11" t="s">
        <v>214</v>
      </c>
      <c r="H34" s="11" t="s">
        <v>104</v>
      </c>
      <c r="I34" s="11"/>
      <c r="J34" s="11"/>
      <c r="K34" s="11"/>
      <c r="L34" s="11"/>
      <c r="M34" s="11"/>
      <c r="N34" s="11"/>
      <c r="O34" s="11"/>
      <c r="P34" s="11" t="s">
        <v>218</v>
      </c>
    </row>
    <row r="35" spans="1:16" ht="15" customHeight="1" x14ac:dyDescent="0.25">
      <c r="A35" s="11" t="s">
        <v>219</v>
      </c>
      <c r="B35" s="11" t="s">
        <v>65</v>
      </c>
      <c r="C35" s="19" t="s">
        <v>192</v>
      </c>
      <c r="D35" s="11" t="s">
        <v>108</v>
      </c>
      <c r="E35" s="11" t="s">
        <v>220</v>
      </c>
      <c r="F35" s="11" t="s">
        <v>131</v>
      </c>
      <c r="G35" s="11" t="s">
        <v>214</v>
      </c>
      <c r="H35" s="11" t="s">
        <v>104</v>
      </c>
      <c r="I35" s="11"/>
      <c r="J35" s="11"/>
      <c r="K35" s="11"/>
      <c r="L35" s="11"/>
      <c r="M35" s="11"/>
      <c r="N35" s="11"/>
      <c r="O35" s="11"/>
      <c r="P35" s="11" t="s">
        <v>221</v>
      </c>
    </row>
    <row r="36" spans="1:16" ht="15" customHeight="1" x14ac:dyDescent="0.25">
      <c r="A36" s="11" t="s">
        <v>222</v>
      </c>
      <c r="B36" s="11" t="s">
        <v>65</v>
      </c>
      <c r="C36" s="19" t="s">
        <v>192</v>
      </c>
      <c r="D36" s="11" t="s">
        <v>108</v>
      </c>
      <c r="E36" s="11" t="s">
        <v>223</v>
      </c>
      <c r="F36" s="11" t="s">
        <v>131</v>
      </c>
      <c r="G36" s="11" t="s">
        <v>214</v>
      </c>
      <c r="H36" s="11" t="s">
        <v>104</v>
      </c>
      <c r="I36" s="11"/>
      <c r="J36" s="11"/>
      <c r="K36" s="11"/>
      <c r="L36" s="11"/>
      <c r="M36" s="11"/>
      <c r="N36" s="11"/>
      <c r="O36" s="11"/>
      <c r="P36" s="11" t="s">
        <v>224</v>
      </c>
    </row>
    <row r="37" spans="1:16" ht="15" customHeight="1" x14ac:dyDescent="0.25">
      <c r="A37" s="11" t="s">
        <v>225</v>
      </c>
      <c r="B37" s="11" t="s">
        <v>65</v>
      </c>
      <c r="C37" s="19" t="s">
        <v>192</v>
      </c>
      <c r="D37" s="11" t="s">
        <v>100</v>
      </c>
      <c r="E37" s="11" t="s">
        <v>226</v>
      </c>
      <c r="F37" s="11" t="s">
        <v>131</v>
      </c>
      <c r="G37" s="11" t="s">
        <v>214</v>
      </c>
      <c r="H37" s="11" t="s">
        <v>104</v>
      </c>
      <c r="I37" s="11"/>
      <c r="J37" s="11"/>
      <c r="K37" s="11"/>
      <c r="L37" s="11"/>
      <c r="M37" s="11"/>
      <c r="N37" s="11"/>
      <c r="O37" s="11"/>
      <c r="P37" s="11" t="s">
        <v>227</v>
      </c>
    </row>
    <row r="38" spans="1:16" ht="15" customHeight="1" x14ac:dyDescent="0.25">
      <c r="A38" s="11" t="s">
        <v>228</v>
      </c>
      <c r="B38" s="11" t="s">
        <v>65</v>
      </c>
      <c r="C38" s="19" t="s">
        <v>192</v>
      </c>
      <c r="D38" s="11" t="s">
        <v>100</v>
      </c>
      <c r="E38" s="11" t="s">
        <v>229</v>
      </c>
      <c r="F38" s="11" t="s">
        <v>102</v>
      </c>
      <c r="G38" s="11" t="s">
        <v>230</v>
      </c>
      <c r="H38" s="11" t="s">
        <v>104</v>
      </c>
      <c r="I38" s="11"/>
      <c r="J38" s="11"/>
      <c r="K38" s="11"/>
      <c r="L38" s="11"/>
      <c r="M38" s="11"/>
      <c r="N38" s="11"/>
      <c r="O38" s="11"/>
      <c r="P38" s="11" t="s">
        <v>231</v>
      </c>
    </row>
    <row r="39" spans="1:16" ht="15" customHeight="1" x14ac:dyDescent="0.25">
      <c r="A39" s="11" t="s">
        <v>232</v>
      </c>
      <c r="B39" s="11" t="s">
        <v>65</v>
      </c>
      <c r="C39" s="19" t="s">
        <v>192</v>
      </c>
      <c r="D39" s="11" t="s">
        <v>108</v>
      </c>
      <c r="E39" s="11" t="s">
        <v>233</v>
      </c>
      <c r="F39" s="11" t="s">
        <v>102</v>
      </c>
      <c r="G39" s="11" t="s">
        <v>230</v>
      </c>
      <c r="H39" s="11" t="s">
        <v>104</v>
      </c>
      <c r="I39" s="11"/>
      <c r="J39" s="11"/>
      <c r="K39" s="11"/>
      <c r="L39" s="11"/>
      <c r="M39" s="11"/>
      <c r="N39" s="11"/>
      <c r="O39" s="11"/>
      <c r="P39" s="11" t="s">
        <v>234</v>
      </c>
    </row>
    <row r="40" spans="1:16" ht="15" customHeight="1" x14ac:dyDescent="0.25">
      <c r="A40" s="11" t="s">
        <v>235</v>
      </c>
      <c r="B40" s="11" t="s">
        <v>65</v>
      </c>
      <c r="C40" s="19" t="s">
        <v>192</v>
      </c>
      <c r="D40" s="11" t="s">
        <v>108</v>
      </c>
      <c r="E40" s="11" t="s">
        <v>236</v>
      </c>
      <c r="F40" s="11" t="s">
        <v>102</v>
      </c>
      <c r="G40" s="11" t="s">
        <v>230</v>
      </c>
      <c r="H40" s="11" t="s">
        <v>104</v>
      </c>
      <c r="I40" s="11"/>
      <c r="J40" s="11"/>
      <c r="K40" s="11"/>
      <c r="L40" s="11"/>
      <c r="M40" s="11"/>
      <c r="N40" s="11"/>
      <c r="O40" s="11"/>
      <c r="P40" s="11" t="s">
        <v>237</v>
      </c>
    </row>
    <row r="41" spans="1:16" ht="15" customHeight="1" x14ac:dyDescent="0.25">
      <c r="A41" s="11" t="s">
        <v>238</v>
      </c>
      <c r="B41" s="11" t="s">
        <v>65</v>
      </c>
      <c r="C41" s="19" t="s">
        <v>192</v>
      </c>
      <c r="D41" s="11" t="s">
        <v>108</v>
      </c>
      <c r="E41" s="11" t="s">
        <v>239</v>
      </c>
      <c r="F41" s="11" t="s">
        <v>102</v>
      </c>
      <c r="G41" s="11" t="s">
        <v>230</v>
      </c>
      <c r="H41" s="11" t="s">
        <v>104</v>
      </c>
      <c r="I41" s="11"/>
      <c r="J41" s="11"/>
      <c r="K41" s="11"/>
      <c r="L41" s="11"/>
      <c r="M41" s="11"/>
      <c r="N41" s="11"/>
      <c r="O41" s="11"/>
      <c r="P41" s="11" t="s">
        <v>240</v>
      </c>
    </row>
    <row r="42" spans="1:16" ht="15" customHeight="1" x14ac:dyDescent="0.25">
      <c r="A42" s="11" t="s">
        <v>241</v>
      </c>
      <c r="B42" s="11" t="s">
        <v>65</v>
      </c>
      <c r="C42" s="19" t="s">
        <v>192</v>
      </c>
      <c r="D42" s="11" t="s">
        <v>108</v>
      </c>
      <c r="E42" s="11" t="s">
        <v>242</v>
      </c>
      <c r="F42" s="11" t="s">
        <v>102</v>
      </c>
      <c r="G42" s="11" t="s">
        <v>230</v>
      </c>
      <c r="H42" s="11" t="s">
        <v>104</v>
      </c>
      <c r="I42" s="11"/>
      <c r="J42" s="11"/>
      <c r="K42" s="11"/>
      <c r="L42" s="11"/>
      <c r="M42" s="11"/>
      <c r="N42" s="11"/>
      <c r="O42" s="11"/>
      <c r="P42" s="11" t="s">
        <v>243</v>
      </c>
    </row>
    <row r="43" spans="1:16" ht="15" customHeight="1" x14ac:dyDescent="0.25">
      <c r="A43" s="11" t="s">
        <v>244</v>
      </c>
      <c r="B43" s="11" t="s">
        <v>65</v>
      </c>
      <c r="C43" s="19" t="s">
        <v>192</v>
      </c>
      <c r="D43" s="11" t="s">
        <v>100</v>
      </c>
      <c r="E43" s="11" t="s">
        <v>245</v>
      </c>
      <c r="F43" s="11" t="s">
        <v>102</v>
      </c>
      <c r="G43" s="11" t="s">
        <v>230</v>
      </c>
      <c r="H43" s="11" t="s">
        <v>104</v>
      </c>
      <c r="I43" s="11"/>
      <c r="J43" s="11"/>
      <c r="K43" s="11"/>
      <c r="L43" s="11"/>
      <c r="M43" s="11"/>
      <c r="N43" s="11"/>
      <c r="O43" s="11"/>
      <c r="P43" s="11" t="s">
        <v>246</v>
      </c>
    </row>
    <row r="44" spans="1:16" ht="15" customHeight="1" x14ac:dyDescent="0.25">
      <c r="A44" s="11" t="s">
        <v>247</v>
      </c>
      <c r="B44" s="11" t="s">
        <v>65</v>
      </c>
      <c r="C44" s="19" t="s">
        <v>192</v>
      </c>
      <c r="D44" s="11" t="s">
        <v>108</v>
      </c>
      <c r="E44" s="11" t="s">
        <v>248</v>
      </c>
      <c r="F44" s="11" t="s">
        <v>102</v>
      </c>
      <c r="G44" s="11" t="s">
        <v>120</v>
      </c>
      <c r="H44" s="11" t="s">
        <v>104</v>
      </c>
      <c r="I44" s="11"/>
      <c r="J44" s="11"/>
      <c r="K44" s="11"/>
      <c r="L44" s="11"/>
      <c r="M44" s="11"/>
      <c r="N44" s="11"/>
      <c r="O44" s="11"/>
      <c r="P44" s="11" t="s">
        <v>249</v>
      </c>
    </row>
    <row r="45" spans="1:16" ht="15" customHeight="1" x14ac:dyDescent="0.25">
      <c r="A45" s="11" t="s">
        <v>250</v>
      </c>
      <c r="B45" s="11" t="s">
        <v>65</v>
      </c>
      <c r="C45" s="19" t="s">
        <v>192</v>
      </c>
      <c r="D45" s="11" t="s">
        <v>108</v>
      </c>
      <c r="E45" s="11" t="s">
        <v>251</v>
      </c>
      <c r="F45" s="11" t="s">
        <v>102</v>
      </c>
      <c r="G45" s="11" t="s">
        <v>120</v>
      </c>
      <c r="H45" s="11" t="s">
        <v>104</v>
      </c>
      <c r="I45" s="11"/>
      <c r="J45" s="11"/>
      <c r="K45" s="11"/>
      <c r="L45" s="11"/>
      <c r="M45" s="11"/>
      <c r="N45" s="11"/>
      <c r="O45" s="11"/>
      <c r="P45" s="11" t="s">
        <v>252</v>
      </c>
    </row>
    <row r="46" spans="1:16" ht="15" customHeight="1" x14ac:dyDescent="0.25">
      <c r="A46" s="11" t="s">
        <v>253</v>
      </c>
      <c r="B46" s="11" t="s">
        <v>65</v>
      </c>
      <c r="C46" s="19" t="s">
        <v>192</v>
      </c>
      <c r="D46" s="11" t="s">
        <v>108</v>
      </c>
      <c r="E46" s="11" t="s">
        <v>254</v>
      </c>
      <c r="F46" s="11" t="s">
        <v>102</v>
      </c>
      <c r="G46" s="11" t="s">
        <v>120</v>
      </c>
      <c r="H46" s="11" t="s">
        <v>104</v>
      </c>
      <c r="I46" s="11"/>
      <c r="J46" s="11"/>
      <c r="K46" s="11"/>
      <c r="L46" s="11"/>
      <c r="M46" s="11"/>
      <c r="N46" s="11"/>
      <c r="O46" s="11"/>
      <c r="P46" s="11" t="s">
        <v>255</v>
      </c>
    </row>
    <row r="47" spans="1:16" ht="15" customHeight="1" x14ac:dyDescent="0.25">
      <c r="A47" s="11" t="s">
        <v>256</v>
      </c>
      <c r="B47" s="11" t="s">
        <v>65</v>
      </c>
      <c r="C47" s="19" t="s">
        <v>192</v>
      </c>
      <c r="D47" s="11" t="s">
        <v>108</v>
      </c>
      <c r="E47" s="11" t="s">
        <v>257</v>
      </c>
      <c r="F47" s="11" t="s">
        <v>102</v>
      </c>
      <c r="G47" s="11" t="s">
        <v>120</v>
      </c>
      <c r="H47" s="11" t="s">
        <v>104</v>
      </c>
      <c r="I47" s="11"/>
      <c r="J47" s="11"/>
      <c r="K47" s="11"/>
      <c r="L47" s="11"/>
      <c r="M47" s="11"/>
      <c r="N47" s="11"/>
      <c r="O47" s="11"/>
      <c r="P47" s="11" t="s">
        <v>258</v>
      </c>
    </row>
    <row r="48" spans="1:16" ht="15" customHeight="1" x14ac:dyDescent="0.25">
      <c r="A48" s="11" t="s">
        <v>259</v>
      </c>
      <c r="B48" s="11" t="s">
        <v>65</v>
      </c>
      <c r="C48" s="19" t="s">
        <v>192</v>
      </c>
      <c r="D48" s="11" t="s">
        <v>108</v>
      </c>
      <c r="E48" s="11" t="s">
        <v>260</v>
      </c>
      <c r="F48" s="11" t="s">
        <v>102</v>
      </c>
      <c r="G48" s="11" t="s">
        <v>120</v>
      </c>
      <c r="H48" s="11" t="s">
        <v>104</v>
      </c>
      <c r="I48" s="11"/>
      <c r="J48" s="11"/>
      <c r="K48" s="11"/>
      <c r="L48" s="11"/>
      <c r="M48" s="11"/>
      <c r="N48" s="11"/>
      <c r="O48" s="11"/>
      <c r="P48" s="11" t="s">
        <v>261</v>
      </c>
    </row>
    <row r="49" spans="1:16" ht="15" customHeight="1" x14ac:dyDescent="0.25">
      <c r="A49" s="11" t="s">
        <v>262</v>
      </c>
      <c r="B49" s="11" t="s">
        <v>65</v>
      </c>
      <c r="C49" s="19" t="s">
        <v>192</v>
      </c>
      <c r="D49" s="11" t="s">
        <v>108</v>
      </c>
      <c r="E49" s="11" t="s">
        <v>263</v>
      </c>
      <c r="F49" s="11" t="s">
        <v>102</v>
      </c>
      <c r="G49" s="11" t="s">
        <v>120</v>
      </c>
      <c r="H49" s="11" t="s">
        <v>104</v>
      </c>
      <c r="I49" s="11"/>
      <c r="J49" s="11"/>
      <c r="K49" s="11"/>
      <c r="L49" s="11"/>
      <c r="M49" s="11"/>
      <c r="N49" s="11"/>
      <c r="O49" s="11"/>
      <c r="P49" s="11" t="s">
        <v>264</v>
      </c>
    </row>
    <row r="50" spans="1:16" ht="15" customHeight="1" x14ac:dyDescent="0.25">
      <c r="A50" s="11" t="s">
        <v>265</v>
      </c>
      <c r="B50" s="11" t="s">
        <v>65</v>
      </c>
      <c r="C50" s="19" t="s">
        <v>192</v>
      </c>
      <c r="D50" s="11" t="s">
        <v>108</v>
      </c>
      <c r="E50" s="11" t="s">
        <v>266</v>
      </c>
      <c r="F50" s="11" t="s">
        <v>102</v>
      </c>
      <c r="G50" s="11" t="s">
        <v>120</v>
      </c>
      <c r="H50" s="11" t="s">
        <v>104</v>
      </c>
      <c r="I50" s="11"/>
      <c r="J50" s="11"/>
      <c r="K50" s="11"/>
      <c r="L50" s="11"/>
      <c r="M50" s="11"/>
      <c r="N50" s="11"/>
      <c r="O50" s="11"/>
      <c r="P50" s="11" t="s">
        <v>267</v>
      </c>
    </row>
    <row r="51" spans="1:16" ht="15" customHeight="1" x14ac:dyDescent="0.25">
      <c r="A51" s="11" t="s">
        <v>268</v>
      </c>
      <c r="B51" s="11" t="s">
        <v>65</v>
      </c>
      <c r="C51" s="19" t="s">
        <v>192</v>
      </c>
      <c r="D51" s="11" t="s">
        <v>100</v>
      </c>
      <c r="E51" s="11" t="s">
        <v>269</v>
      </c>
      <c r="F51" s="11" t="s">
        <v>102</v>
      </c>
      <c r="G51" s="11" t="s">
        <v>120</v>
      </c>
      <c r="H51" s="11" t="s">
        <v>104</v>
      </c>
      <c r="I51" s="11"/>
      <c r="J51" s="11"/>
      <c r="K51" s="11"/>
      <c r="L51" s="11"/>
      <c r="M51" s="11"/>
      <c r="N51" s="11"/>
      <c r="O51" s="11"/>
      <c r="P51" s="11" t="s">
        <v>270</v>
      </c>
    </row>
    <row r="52" spans="1:16" ht="15" customHeight="1" x14ac:dyDescent="0.25">
      <c r="A52" s="11" t="s">
        <v>271</v>
      </c>
      <c r="B52" s="11" t="s">
        <v>65</v>
      </c>
      <c r="C52" s="19" t="s">
        <v>192</v>
      </c>
      <c r="D52" s="11" t="s">
        <v>100</v>
      </c>
      <c r="E52" s="11" t="s">
        <v>272</v>
      </c>
      <c r="F52" s="11" t="s">
        <v>102</v>
      </c>
      <c r="G52" s="11" t="s">
        <v>273</v>
      </c>
      <c r="H52" s="11" t="s">
        <v>104</v>
      </c>
      <c r="I52" s="11"/>
      <c r="J52" s="11"/>
      <c r="K52" s="11"/>
      <c r="L52" s="11"/>
      <c r="M52" s="11"/>
      <c r="N52" s="11"/>
      <c r="O52" s="11"/>
      <c r="P52" s="11" t="s">
        <v>274</v>
      </c>
    </row>
    <row r="53" spans="1:16" ht="15" customHeight="1" x14ac:dyDescent="0.25">
      <c r="A53" s="11" t="s">
        <v>275</v>
      </c>
      <c r="B53" s="11" t="s">
        <v>65</v>
      </c>
      <c r="C53" s="19" t="s">
        <v>192</v>
      </c>
      <c r="D53" s="11" t="s">
        <v>108</v>
      </c>
      <c r="E53" s="11" t="s">
        <v>276</v>
      </c>
      <c r="F53" s="11" t="s">
        <v>102</v>
      </c>
      <c r="G53" s="11" t="s">
        <v>230</v>
      </c>
      <c r="H53" s="11" t="s">
        <v>104</v>
      </c>
      <c r="I53" s="11"/>
      <c r="J53" s="11"/>
      <c r="K53" s="11"/>
      <c r="L53" s="11"/>
      <c r="M53" s="11"/>
      <c r="N53" s="11"/>
      <c r="O53" s="11"/>
      <c r="P53" s="11" t="s">
        <v>277</v>
      </c>
    </row>
    <row r="54" spans="1:16" ht="15" customHeight="1" x14ac:dyDescent="0.25">
      <c r="A54" s="11" t="s">
        <v>278</v>
      </c>
      <c r="B54" s="11" t="s">
        <v>65</v>
      </c>
      <c r="C54" s="19" t="s">
        <v>192</v>
      </c>
      <c r="D54" s="11" t="s">
        <v>108</v>
      </c>
      <c r="E54" s="11" t="s">
        <v>279</v>
      </c>
      <c r="F54" s="11" t="s">
        <v>102</v>
      </c>
      <c r="G54" s="11" t="s">
        <v>230</v>
      </c>
      <c r="H54" s="11" t="s">
        <v>104</v>
      </c>
      <c r="I54" s="11"/>
      <c r="J54" s="11"/>
      <c r="K54" s="11"/>
      <c r="L54" s="11"/>
      <c r="M54" s="11"/>
      <c r="N54" s="11"/>
      <c r="O54" s="11"/>
      <c r="P54" s="11" t="s">
        <v>280</v>
      </c>
    </row>
    <row r="55" spans="1:16" ht="15" customHeight="1" x14ac:dyDescent="0.25">
      <c r="A55" s="11" t="s">
        <v>281</v>
      </c>
      <c r="B55" s="11" t="s">
        <v>65</v>
      </c>
      <c r="C55" s="19" t="s">
        <v>192</v>
      </c>
      <c r="D55" s="11" t="s">
        <v>108</v>
      </c>
      <c r="E55" s="11" t="s">
        <v>282</v>
      </c>
      <c r="F55" s="11" t="s">
        <v>102</v>
      </c>
      <c r="G55" s="11" t="s">
        <v>230</v>
      </c>
      <c r="H55" s="11" t="s">
        <v>104</v>
      </c>
      <c r="I55" s="11"/>
      <c r="J55" s="11"/>
      <c r="K55" s="11"/>
      <c r="L55" s="11"/>
      <c r="M55" s="11"/>
      <c r="N55" s="11"/>
      <c r="O55" s="11"/>
      <c r="P55" s="11" t="s">
        <v>283</v>
      </c>
    </row>
    <row r="56" spans="1:16" ht="15" customHeight="1" x14ac:dyDescent="0.25">
      <c r="A56" s="11" t="s">
        <v>284</v>
      </c>
      <c r="B56" s="11" t="s">
        <v>65</v>
      </c>
      <c r="C56" s="19" t="s">
        <v>192</v>
      </c>
      <c r="D56" s="11" t="s">
        <v>108</v>
      </c>
      <c r="E56" s="11" t="s">
        <v>285</v>
      </c>
      <c r="F56" s="11" t="s">
        <v>102</v>
      </c>
      <c r="G56" s="11" t="s">
        <v>230</v>
      </c>
      <c r="H56" s="11" t="s">
        <v>104</v>
      </c>
      <c r="I56" s="11"/>
      <c r="J56" s="11"/>
      <c r="K56" s="11"/>
      <c r="L56" s="11"/>
      <c r="M56" s="11"/>
      <c r="N56" s="11"/>
      <c r="O56" s="11"/>
      <c r="P56" s="11" t="s">
        <v>185</v>
      </c>
    </row>
    <row r="57" spans="1:16" ht="15" customHeight="1" x14ac:dyDescent="0.25">
      <c r="A57" s="11" t="s">
        <v>286</v>
      </c>
      <c r="B57" s="11" t="s">
        <v>65</v>
      </c>
      <c r="C57" s="19" t="s">
        <v>192</v>
      </c>
      <c r="D57" s="11" t="s">
        <v>108</v>
      </c>
      <c r="E57" s="11" t="s">
        <v>287</v>
      </c>
      <c r="F57" s="11" t="s">
        <v>102</v>
      </c>
      <c r="G57" s="11" t="s">
        <v>288</v>
      </c>
      <c r="H57" s="11" t="s">
        <v>104</v>
      </c>
      <c r="I57" s="11"/>
      <c r="J57" s="11"/>
      <c r="K57" s="11"/>
      <c r="L57" s="11"/>
      <c r="M57" s="11"/>
      <c r="N57" s="11"/>
      <c r="O57" s="11"/>
      <c r="P57" s="11" t="s">
        <v>289</v>
      </c>
    </row>
    <row r="58" spans="1:16" ht="15" customHeight="1" x14ac:dyDescent="0.25">
      <c r="A58" s="11" t="s">
        <v>290</v>
      </c>
      <c r="B58" s="11" t="s">
        <v>65</v>
      </c>
      <c r="C58" s="19" t="s">
        <v>192</v>
      </c>
      <c r="D58" s="11" t="s">
        <v>108</v>
      </c>
      <c r="E58" s="11" t="s">
        <v>291</v>
      </c>
      <c r="F58" s="11" t="s">
        <v>102</v>
      </c>
      <c r="G58" s="11" t="s">
        <v>288</v>
      </c>
      <c r="H58" s="11" t="s">
        <v>104</v>
      </c>
      <c r="I58" s="11"/>
      <c r="J58" s="11"/>
      <c r="K58" s="11"/>
      <c r="L58" s="11"/>
      <c r="M58" s="11"/>
      <c r="N58" s="11"/>
      <c r="O58" s="11"/>
      <c r="P58" s="11" t="s">
        <v>292</v>
      </c>
    </row>
    <row r="59" spans="1:16" ht="15" customHeight="1" x14ac:dyDescent="0.25">
      <c r="A59" s="11" t="s">
        <v>293</v>
      </c>
      <c r="B59" s="11" t="s">
        <v>65</v>
      </c>
      <c r="C59" s="19" t="s">
        <v>192</v>
      </c>
      <c r="D59" s="11" t="s">
        <v>108</v>
      </c>
      <c r="E59" s="11" t="s">
        <v>294</v>
      </c>
      <c r="F59" s="11" t="s">
        <v>102</v>
      </c>
      <c r="G59" s="11" t="s">
        <v>288</v>
      </c>
      <c r="H59" s="11" t="s">
        <v>104</v>
      </c>
      <c r="I59" s="11"/>
      <c r="J59" s="11"/>
      <c r="K59" s="11"/>
      <c r="L59" s="11"/>
      <c r="M59" s="11"/>
      <c r="N59" s="11"/>
      <c r="O59" s="11"/>
      <c r="P59" s="11" t="s">
        <v>295</v>
      </c>
    </row>
    <row r="60" spans="1:16" ht="15" customHeight="1" x14ac:dyDescent="0.25">
      <c r="A60" s="11" t="s">
        <v>296</v>
      </c>
      <c r="B60" s="11" t="s">
        <v>65</v>
      </c>
      <c r="C60" s="19" t="s">
        <v>192</v>
      </c>
      <c r="D60" s="11" t="s">
        <v>108</v>
      </c>
      <c r="E60" s="11" t="s">
        <v>297</v>
      </c>
      <c r="F60" s="11" t="s">
        <v>102</v>
      </c>
      <c r="G60" s="11" t="s">
        <v>288</v>
      </c>
      <c r="H60" s="11" t="s">
        <v>104</v>
      </c>
      <c r="I60" s="11"/>
      <c r="J60" s="11"/>
      <c r="K60" s="11"/>
      <c r="L60" s="11"/>
      <c r="M60" s="11"/>
      <c r="N60" s="11"/>
      <c r="O60" s="11"/>
      <c r="P60" s="11" t="s">
        <v>298</v>
      </c>
    </row>
    <row r="61" spans="1:16" ht="15" customHeight="1" x14ac:dyDescent="0.25">
      <c r="A61" s="11" t="s">
        <v>299</v>
      </c>
      <c r="B61" s="11" t="s">
        <v>65</v>
      </c>
      <c r="C61" s="19" t="s">
        <v>192</v>
      </c>
      <c r="D61" s="11" t="s">
        <v>100</v>
      </c>
      <c r="E61" s="11" t="s">
        <v>300</v>
      </c>
      <c r="F61" s="11" t="s">
        <v>102</v>
      </c>
      <c r="G61" s="11" t="s">
        <v>288</v>
      </c>
      <c r="H61" s="11" t="s">
        <v>104</v>
      </c>
      <c r="I61" s="11"/>
      <c r="J61" s="11"/>
      <c r="K61" s="11"/>
      <c r="L61" s="11"/>
      <c r="M61" s="11"/>
      <c r="N61" s="11"/>
      <c r="O61" s="11"/>
      <c r="P61" s="11" t="s">
        <v>301</v>
      </c>
    </row>
    <row r="62" spans="1:16" ht="34.5" customHeight="1" x14ac:dyDescent="0.25">
      <c r="A62" s="13" t="s">
        <v>302</v>
      </c>
      <c r="B62" s="13" t="s">
        <v>68</v>
      </c>
      <c r="C62" s="21" t="s">
        <v>116</v>
      </c>
      <c r="D62" s="13" t="s">
        <v>303</v>
      </c>
      <c r="E62" s="13" t="s">
        <v>304</v>
      </c>
      <c r="F62" s="13" t="s">
        <v>119</v>
      </c>
      <c r="G62" s="13" t="s">
        <v>120</v>
      </c>
      <c r="H62" s="13" t="s">
        <v>104</v>
      </c>
      <c r="I62" s="13"/>
      <c r="J62" s="13"/>
      <c r="K62" s="13" t="s">
        <v>305</v>
      </c>
      <c r="L62" s="13" t="s">
        <v>306</v>
      </c>
      <c r="M62" s="13" t="s">
        <v>307</v>
      </c>
      <c r="N62" s="13" t="s">
        <v>306</v>
      </c>
      <c r="O62" s="13" t="s">
        <v>120</v>
      </c>
      <c r="P62" s="13" t="s">
        <v>206</v>
      </c>
    </row>
    <row r="63" spans="1:16" ht="23.25" customHeight="1" x14ac:dyDescent="0.25">
      <c r="A63" s="13" t="s">
        <v>308</v>
      </c>
      <c r="B63" s="13" t="s">
        <v>68</v>
      </c>
      <c r="C63" s="21" t="s">
        <v>107</v>
      </c>
      <c r="D63" s="13" t="s">
        <v>100</v>
      </c>
      <c r="E63" s="13" t="s">
        <v>309</v>
      </c>
      <c r="F63" s="13" t="s">
        <v>131</v>
      </c>
      <c r="G63" s="13" t="s">
        <v>132</v>
      </c>
      <c r="H63" s="13" t="s">
        <v>104</v>
      </c>
      <c r="I63" s="13"/>
      <c r="J63" s="13"/>
      <c r="K63" s="13" t="s">
        <v>310</v>
      </c>
      <c r="L63" s="13" t="s">
        <v>311</v>
      </c>
      <c r="M63" s="13" t="s">
        <v>307</v>
      </c>
      <c r="N63" s="13" t="s">
        <v>312</v>
      </c>
      <c r="O63" s="13" t="s">
        <v>313</v>
      </c>
      <c r="P63" s="13" t="s">
        <v>314</v>
      </c>
    </row>
    <row r="64" spans="1:16" ht="23.25" customHeight="1" x14ac:dyDescent="0.25">
      <c r="A64" s="13" t="s">
        <v>315</v>
      </c>
      <c r="B64" s="13" t="s">
        <v>68</v>
      </c>
      <c r="C64" s="21" t="s">
        <v>107</v>
      </c>
      <c r="D64" s="13" t="s">
        <v>129</v>
      </c>
      <c r="E64" s="13" t="s">
        <v>316</v>
      </c>
      <c r="F64" s="13" t="s">
        <v>131</v>
      </c>
      <c r="G64" s="13" t="s">
        <v>132</v>
      </c>
      <c r="H64" s="13" t="s">
        <v>133</v>
      </c>
      <c r="I64" s="13" t="s">
        <v>134</v>
      </c>
      <c r="J64" s="13" t="s">
        <v>317</v>
      </c>
      <c r="K64" s="13" t="s">
        <v>318</v>
      </c>
      <c r="L64" s="13" t="s">
        <v>319</v>
      </c>
      <c r="M64" s="13" t="s">
        <v>307</v>
      </c>
      <c r="N64" s="13" t="s">
        <v>306</v>
      </c>
      <c r="O64" s="13" t="s">
        <v>320</v>
      </c>
      <c r="P64" s="13" t="s">
        <v>215</v>
      </c>
    </row>
    <row r="65" spans="1:16" ht="23.25" customHeight="1" x14ac:dyDescent="0.25">
      <c r="A65" s="13" t="s">
        <v>321</v>
      </c>
      <c r="B65" s="13" t="s">
        <v>68</v>
      </c>
      <c r="C65" s="21" t="s">
        <v>107</v>
      </c>
      <c r="D65" s="13" t="s">
        <v>129</v>
      </c>
      <c r="E65" s="13" t="s">
        <v>130</v>
      </c>
      <c r="F65" s="13" t="s">
        <v>131</v>
      </c>
      <c r="G65" s="13" t="s">
        <v>132</v>
      </c>
      <c r="H65" s="13" t="s">
        <v>133</v>
      </c>
      <c r="I65" s="13" t="s">
        <v>134</v>
      </c>
      <c r="J65" s="13" t="s">
        <v>322</v>
      </c>
      <c r="K65" s="13" t="s">
        <v>318</v>
      </c>
      <c r="L65" s="13" t="s">
        <v>319</v>
      </c>
      <c r="M65" s="13" t="s">
        <v>307</v>
      </c>
      <c r="N65" s="13" t="s">
        <v>306</v>
      </c>
      <c r="O65" s="13" t="s">
        <v>320</v>
      </c>
      <c r="P65" s="13" t="s">
        <v>323</v>
      </c>
    </row>
    <row r="66" spans="1:16" ht="23.25" customHeight="1" x14ac:dyDescent="0.25">
      <c r="A66" s="13" t="s">
        <v>324</v>
      </c>
      <c r="B66" s="13" t="s">
        <v>68</v>
      </c>
      <c r="C66" s="21" t="s">
        <v>107</v>
      </c>
      <c r="D66" s="13" t="s">
        <v>129</v>
      </c>
      <c r="E66" s="13" t="s">
        <v>138</v>
      </c>
      <c r="F66" s="13" t="s">
        <v>131</v>
      </c>
      <c r="G66" s="13" t="s">
        <v>132</v>
      </c>
      <c r="H66" s="13" t="s">
        <v>133</v>
      </c>
      <c r="I66" s="13" t="s">
        <v>134</v>
      </c>
      <c r="J66" s="13" t="s">
        <v>325</v>
      </c>
      <c r="K66" s="13" t="s">
        <v>318</v>
      </c>
      <c r="L66" s="13" t="s">
        <v>319</v>
      </c>
      <c r="M66" s="13" t="s">
        <v>307</v>
      </c>
      <c r="N66" s="13" t="s">
        <v>306</v>
      </c>
      <c r="O66" s="13" t="s">
        <v>320</v>
      </c>
      <c r="P66" s="13" t="s">
        <v>326</v>
      </c>
    </row>
    <row r="67" spans="1:16" ht="23.25" customHeight="1" x14ac:dyDescent="0.25">
      <c r="A67" s="13" t="s">
        <v>327</v>
      </c>
      <c r="B67" s="13" t="s">
        <v>68</v>
      </c>
      <c r="C67" s="21" t="s">
        <v>192</v>
      </c>
      <c r="D67" s="13" t="s">
        <v>100</v>
      </c>
      <c r="E67" s="13" t="s">
        <v>328</v>
      </c>
      <c r="F67" s="13" t="s">
        <v>102</v>
      </c>
      <c r="G67" s="13" t="s">
        <v>288</v>
      </c>
      <c r="H67" s="13" t="s">
        <v>104</v>
      </c>
      <c r="I67" s="13"/>
      <c r="J67" s="13"/>
      <c r="K67" s="13" t="s">
        <v>329</v>
      </c>
      <c r="L67" s="13" t="s">
        <v>311</v>
      </c>
      <c r="M67" s="13" t="s">
        <v>307</v>
      </c>
      <c r="N67" s="13" t="s">
        <v>312</v>
      </c>
      <c r="O67" s="13" t="s">
        <v>330</v>
      </c>
      <c r="P67" s="13" t="s">
        <v>301</v>
      </c>
    </row>
    <row r="68" spans="1:16" ht="23.25" customHeight="1" x14ac:dyDescent="0.25">
      <c r="A68" s="13" t="s">
        <v>331</v>
      </c>
      <c r="B68" s="13" t="s">
        <v>68</v>
      </c>
      <c r="C68" s="21" t="s">
        <v>192</v>
      </c>
      <c r="D68" s="13" t="s">
        <v>193</v>
      </c>
      <c r="E68" s="13" t="s">
        <v>332</v>
      </c>
      <c r="F68" s="13" t="s">
        <v>195</v>
      </c>
      <c r="G68" s="13" t="s">
        <v>120</v>
      </c>
      <c r="H68" s="13" t="s">
        <v>196</v>
      </c>
      <c r="I68" s="13"/>
      <c r="J68" s="13"/>
      <c r="K68" s="13" t="s">
        <v>333</v>
      </c>
      <c r="L68" s="13" t="s">
        <v>334</v>
      </c>
      <c r="M68" s="13" t="s">
        <v>307</v>
      </c>
      <c r="N68" s="13" t="s">
        <v>306</v>
      </c>
      <c r="O68" s="13"/>
      <c r="P68" s="13" t="s">
        <v>335</v>
      </c>
    </row>
    <row r="69" spans="1:16" ht="23.25" customHeight="1" x14ac:dyDescent="0.25">
      <c r="A69" s="13" t="s">
        <v>336</v>
      </c>
      <c r="B69" s="13" t="s">
        <v>68</v>
      </c>
      <c r="C69" s="21" t="s">
        <v>192</v>
      </c>
      <c r="D69" s="13" t="s">
        <v>193</v>
      </c>
      <c r="E69" s="13" t="s">
        <v>337</v>
      </c>
      <c r="F69" s="13" t="s">
        <v>195</v>
      </c>
      <c r="G69" s="13" t="s">
        <v>120</v>
      </c>
      <c r="H69" s="13" t="s">
        <v>196</v>
      </c>
      <c r="I69" s="13"/>
      <c r="J69" s="13"/>
      <c r="K69" s="13" t="s">
        <v>333</v>
      </c>
      <c r="L69" s="13" t="s">
        <v>334</v>
      </c>
      <c r="M69" s="13" t="s">
        <v>307</v>
      </c>
      <c r="N69" s="13" t="s">
        <v>306</v>
      </c>
      <c r="O69" s="13"/>
      <c r="P69" s="13" t="s">
        <v>338</v>
      </c>
    </row>
    <row r="70" spans="1:16" ht="23.25" customHeight="1" x14ac:dyDescent="0.25">
      <c r="A70" s="13" t="s">
        <v>339</v>
      </c>
      <c r="B70" s="13" t="s">
        <v>68</v>
      </c>
      <c r="C70" s="21" t="s">
        <v>192</v>
      </c>
      <c r="D70" s="13" t="s">
        <v>100</v>
      </c>
      <c r="E70" s="13" t="s">
        <v>340</v>
      </c>
      <c r="F70" s="13" t="s">
        <v>119</v>
      </c>
      <c r="G70" s="13" t="s">
        <v>103</v>
      </c>
      <c r="H70" s="13" t="s">
        <v>104</v>
      </c>
      <c r="I70" s="13"/>
      <c r="J70" s="13"/>
      <c r="K70" s="13" t="s">
        <v>329</v>
      </c>
      <c r="L70" s="13" t="s">
        <v>334</v>
      </c>
      <c r="M70" s="13" t="s">
        <v>307</v>
      </c>
      <c r="N70" s="13" t="s">
        <v>312</v>
      </c>
      <c r="O70" s="13"/>
      <c r="P70" s="13" t="s">
        <v>105</v>
      </c>
    </row>
    <row r="71" spans="1:16" ht="65.25" customHeight="1" x14ac:dyDescent="0.25">
      <c r="A71" s="13" t="s">
        <v>341</v>
      </c>
      <c r="B71" s="13" t="s">
        <v>68</v>
      </c>
      <c r="C71" s="21" t="s">
        <v>192</v>
      </c>
      <c r="D71" s="13" t="s">
        <v>129</v>
      </c>
      <c r="E71" s="13" t="s">
        <v>342</v>
      </c>
      <c r="F71" s="13" t="s">
        <v>119</v>
      </c>
      <c r="G71" s="13" t="s">
        <v>120</v>
      </c>
      <c r="H71" s="13" t="s">
        <v>343</v>
      </c>
      <c r="I71" s="13" t="s">
        <v>134</v>
      </c>
      <c r="J71" s="13" t="s">
        <v>344</v>
      </c>
      <c r="K71" s="13" t="s">
        <v>318</v>
      </c>
      <c r="L71" s="13" t="s">
        <v>319</v>
      </c>
      <c r="M71" s="13" t="s">
        <v>307</v>
      </c>
      <c r="N71" s="13" t="s">
        <v>306</v>
      </c>
      <c r="O71" s="13"/>
      <c r="P71" s="13" t="s">
        <v>61</v>
      </c>
    </row>
    <row r="72" spans="1:16" ht="23.25" customHeight="1" x14ac:dyDescent="0.25">
      <c r="A72" s="13" t="s">
        <v>345</v>
      </c>
      <c r="B72" s="13" t="s">
        <v>68</v>
      </c>
      <c r="C72" s="21" t="s">
        <v>346</v>
      </c>
      <c r="D72" s="13" t="s">
        <v>100</v>
      </c>
      <c r="E72" s="13" t="s">
        <v>347</v>
      </c>
      <c r="F72" s="13" t="s">
        <v>102</v>
      </c>
      <c r="G72" s="13" t="s">
        <v>103</v>
      </c>
      <c r="H72" s="13" t="s">
        <v>104</v>
      </c>
      <c r="I72" s="13"/>
      <c r="J72" s="13"/>
      <c r="K72" s="13" t="s">
        <v>329</v>
      </c>
      <c r="L72" s="13" t="s">
        <v>334</v>
      </c>
      <c r="M72" s="13" t="s">
        <v>307</v>
      </c>
      <c r="N72" s="13" t="s">
        <v>312</v>
      </c>
      <c r="O72" s="13"/>
      <c r="P72" s="13" t="s">
        <v>348</v>
      </c>
    </row>
    <row r="73" spans="1:16" ht="23.25" customHeight="1" x14ac:dyDescent="0.25">
      <c r="A73" s="13" t="s">
        <v>349</v>
      </c>
      <c r="B73" s="13" t="s">
        <v>68</v>
      </c>
      <c r="C73" s="21" t="s">
        <v>346</v>
      </c>
      <c r="D73" s="13" t="s">
        <v>100</v>
      </c>
      <c r="E73" s="13" t="s">
        <v>350</v>
      </c>
      <c r="F73" s="13" t="s">
        <v>131</v>
      </c>
      <c r="G73" s="13" t="s">
        <v>351</v>
      </c>
      <c r="H73" s="13" t="s">
        <v>104</v>
      </c>
      <c r="I73" s="13"/>
      <c r="J73" s="13"/>
      <c r="K73" s="13" t="s">
        <v>329</v>
      </c>
      <c r="L73" s="13" t="s">
        <v>334</v>
      </c>
      <c r="M73" s="13" t="s">
        <v>307</v>
      </c>
      <c r="N73" s="13" t="s">
        <v>312</v>
      </c>
      <c r="O73" s="13"/>
      <c r="P73" s="13" t="s">
        <v>352</v>
      </c>
    </row>
    <row r="74" spans="1:16" ht="23.25" customHeight="1" x14ac:dyDescent="0.25">
      <c r="A74" s="13" t="s">
        <v>353</v>
      </c>
      <c r="B74" s="13" t="s">
        <v>68</v>
      </c>
      <c r="C74" s="21" t="s">
        <v>346</v>
      </c>
      <c r="D74" s="13" t="s">
        <v>100</v>
      </c>
      <c r="E74" s="13" t="s">
        <v>354</v>
      </c>
      <c r="F74" s="13" t="s">
        <v>131</v>
      </c>
      <c r="G74" s="13" t="s">
        <v>355</v>
      </c>
      <c r="H74" s="13" t="s">
        <v>104</v>
      </c>
      <c r="I74" s="13"/>
      <c r="J74" s="13"/>
      <c r="K74" s="13" t="s">
        <v>329</v>
      </c>
      <c r="L74" s="13" t="s">
        <v>334</v>
      </c>
      <c r="M74" s="13" t="s">
        <v>307</v>
      </c>
      <c r="N74" s="13" t="s">
        <v>312</v>
      </c>
      <c r="O74" s="13"/>
      <c r="P74" s="13" t="s">
        <v>356</v>
      </c>
    </row>
    <row r="75" spans="1:16" ht="34.5" customHeight="1" x14ac:dyDescent="0.25">
      <c r="A75" s="13" t="s">
        <v>357</v>
      </c>
      <c r="B75" s="13" t="s">
        <v>68</v>
      </c>
      <c r="C75" s="21" t="s">
        <v>346</v>
      </c>
      <c r="D75" s="13" t="s">
        <v>129</v>
      </c>
      <c r="E75" s="13" t="s">
        <v>358</v>
      </c>
      <c r="F75" s="13" t="s">
        <v>102</v>
      </c>
      <c r="G75" s="13" t="s">
        <v>132</v>
      </c>
      <c r="H75" s="13" t="s">
        <v>343</v>
      </c>
      <c r="I75" s="13" t="s">
        <v>134</v>
      </c>
      <c r="J75" s="13" t="s">
        <v>359</v>
      </c>
      <c r="K75" s="13" t="s">
        <v>318</v>
      </c>
      <c r="L75" s="13" t="s">
        <v>360</v>
      </c>
      <c r="M75" s="13" t="s">
        <v>307</v>
      </c>
      <c r="N75" s="13" t="s">
        <v>306</v>
      </c>
      <c r="O75" s="13"/>
      <c r="P75" s="13"/>
    </row>
    <row r="76" spans="1:16" ht="23.25" customHeight="1" x14ac:dyDescent="0.25">
      <c r="A76" s="13" t="s">
        <v>361</v>
      </c>
      <c r="B76" s="13" t="s">
        <v>68</v>
      </c>
      <c r="C76" s="21" t="s">
        <v>346</v>
      </c>
      <c r="D76" s="13" t="s">
        <v>129</v>
      </c>
      <c r="E76" s="13" t="s">
        <v>362</v>
      </c>
      <c r="F76" s="13" t="s">
        <v>102</v>
      </c>
      <c r="G76" s="13" t="s">
        <v>132</v>
      </c>
      <c r="H76" s="13" t="s">
        <v>133</v>
      </c>
      <c r="I76" s="13" t="s">
        <v>134</v>
      </c>
      <c r="J76" s="13" t="s">
        <v>363</v>
      </c>
      <c r="K76" s="13" t="s">
        <v>318</v>
      </c>
      <c r="L76" s="13" t="s">
        <v>319</v>
      </c>
      <c r="M76" s="13" t="s">
        <v>307</v>
      </c>
      <c r="N76" s="13" t="s">
        <v>306</v>
      </c>
      <c r="O76" s="13"/>
      <c r="P76" s="13"/>
    </row>
    <row r="77" spans="1:16" ht="23.25" customHeight="1" x14ac:dyDescent="0.25">
      <c r="A77" s="13" t="s">
        <v>364</v>
      </c>
      <c r="B77" s="13" t="s">
        <v>68</v>
      </c>
      <c r="C77" s="21" t="s">
        <v>346</v>
      </c>
      <c r="D77" s="13" t="s">
        <v>129</v>
      </c>
      <c r="E77" s="13" t="s">
        <v>365</v>
      </c>
      <c r="F77" s="13" t="s">
        <v>102</v>
      </c>
      <c r="G77" s="13" t="s">
        <v>132</v>
      </c>
      <c r="H77" s="13" t="s">
        <v>133</v>
      </c>
      <c r="I77" s="13" t="s">
        <v>134</v>
      </c>
      <c r="J77" s="13" t="s">
        <v>366</v>
      </c>
      <c r="K77" s="13" t="s">
        <v>318</v>
      </c>
      <c r="L77" s="13" t="s">
        <v>319</v>
      </c>
      <c r="M77" s="13" t="s">
        <v>307</v>
      </c>
      <c r="N77" s="13" t="s">
        <v>306</v>
      </c>
      <c r="O77" s="13"/>
      <c r="P77" s="13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79"/>
  <sheetViews>
    <sheetView showGridLines="0" zoomScaleNormal="100" workbookViewId="0">
      <pane ySplit="1" topLeftCell="A2" activePane="bottomLeft" state="frozen"/>
      <selection pane="bottomLeft" activeCell="S29" sqref="S29"/>
    </sheetView>
  </sheetViews>
  <sheetFormatPr defaultColWidth="8.7109375" defaultRowHeight="15" x14ac:dyDescent="0.25"/>
  <cols>
    <col min="1" max="1" width="24" style="1" customWidth="1"/>
    <col min="2" max="2" width="11" style="1" customWidth="1"/>
    <col min="3" max="3" width="12" style="1" customWidth="1"/>
    <col min="4" max="4" width="10" style="1" customWidth="1"/>
    <col min="5" max="5" width="11" style="1" customWidth="1"/>
    <col min="6" max="6" width="13.42578125" style="1" customWidth="1"/>
    <col min="7" max="7" width="14" style="1" customWidth="1"/>
    <col min="8" max="10" width="9" style="1" customWidth="1"/>
    <col min="11" max="11" width="12" style="1" customWidth="1"/>
    <col min="12" max="12" width="10" style="1" customWidth="1"/>
  </cols>
  <sheetData>
    <row r="1" spans="1:12" ht="23.25" customHeight="1" x14ac:dyDescent="0.25">
      <c r="A1" s="8" t="s">
        <v>83</v>
      </c>
      <c r="B1" s="8" t="s">
        <v>62</v>
      </c>
      <c r="C1" s="8" t="s">
        <v>71</v>
      </c>
      <c r="D1" s="8" t="s">
        <v>367</v>
      </c>
      <c r="E1" s="8" t="s">
        <v>368</v>
      </c>
      <c r="F1" s="8" t="s">
        <v>369</v>
      </c>
      <c r="G1" s="8" t="s">
        <v>370</v>
      </c>
      <c r="H1" s="8" t="s">
        <v>371</v>
      </c>
      <c r="I1" s="8" t="s">
        <v>372</v>
      </c>
      <c r="J1" s="8" t="s">
        <v>88</v>
      </c>
      <c r="K1" s="8" t="s">
        <v>373</v>
      </c>
      <c r="L1" s="8" t="s">
        <v>374</v>
      </c>
    </row>
    <row r="2" spans="1:12" ht="15" customHeight="1" x14ac:dyDescent="0.25">
      <c r="A2" s="11" t="s">
        <v>98</v>
      </c>
      <c r="B2" s="11" t="s">
        <v>65</v>
      </c>
      <c r="C2" s="11" t="s">
        <v>375</v>
      </c>
      <c r="D2" s="11" t="s">
        <v>375</v>
      </c>
      <c r="E2" s="11">
        <v>1</v>
      </c>
      <c r="F2" s="11" t="s">
        <v>104</v>
      </c>
      <c r="G2" s="11" t="s">
        <v>105</v>
      </c>
      <c r="H2" s="11"/>
      <c r="I2" s="11"/>
      <c r="J2" s="11" t="s">
        <v>103</v>
      </c>
      <c r="K2" s="11" t="s">
        <v>376</v>
      </c>
      <c r="L2" s="11" t="s">
        <v>377</v>
      </c>
    </row>
    <row r="3" spans="1:12" ht="15" customHeight="1" x14ac:dyDescent="0.25">
      <c r="A3" s="11" t="s">
        <v>106</v>
      </c>
      <c r="B3" s="11" t="s">
        <v>65</v>
      </c>
      <c r="C3" s="11" t="s">
        <v>375</v>
      </c>
      <c r="D3" s="11" t="s">
        <v>375</v>
      </c>
      <c r="E3" s="11">
        <v>1</v>
      </c>
      <c r="F3" s="11" t="s">
        <v>104</v>
      </c>
      <c r="G3" s="11" t="s">
        <v>111</v>
      </c>
      <c r="H3" s="11"/>
      <c r="I3" s="11"/>
      <c r="J3" s="11" t="s">
        <v>110</v>
      </c>
      <c r="K3" s="11" t="s">
        <v>376</v>
      </c>
      <c r="L3" s="11" t="s">
        <v>377</v>
      </c>
    </row>
    <row r="4" spans="1:12" ht="15" customHeight="1" x14ac:dyDescent="0.25">
      <c r="A4" s="11" t="s">
        <v>112</v>
      </c>
      <c r="B4" s="11" t="s">
        <v>65</v>
      </c>
      <c r="C4" s="11" t="s">
        <v>375</v>
      </c>
      <c r="D4" s="11" t="s">
        <v>375</v>
      </c>
      <c r="E4" s="11">
        <v>1</v>
      </c>
      <c r="F4" s="11" t="s">
        <v>104</v>
      </c>
      <c r="G4" s="11" t="s">
        <v>114</v>
      </c>
      <c r="H4" s="11"/>
      <c r="I4" s="11"/>
      <c r="J4" s="11" t="s">
        <v>110</v>
      </c>
      <c r="K4" s="11" t="s">
        <v>376</v>
      </c>
      <c r="L4" s="11" t="s">
        <v>377</v>
      </c>
    </row>
    <row r="5" spans="1:12" ht="23.25" customHeight="1" x14ac:dyDescent="0.25">
      <c r="A5" s="11" t="s">
        <v>115</v>
      </c>
      <c r="B5" s="11" t="s">
        <v>65</v>
      </c>
      <c r="C5" s="11" t="s">
        <v>375</v>
      </c>
      <c r="D5" s="11" t="s">
        <v>375</v>
      </c>
      <c r="E5" s="11">
        <v>1</v>
      </c>
      <c r="F5" s="11" t="s">
        <v>104</v>
      </c>
      <c r="G5" s="11" t="s">
        <v>121</v>
      </c>
      <c r="H5" s="11"/>
      <c r="I5" s="11"/>
      <c r="J5" s="11" t="s">
        <v>120</v>
      </c>
      <c r="K5" s="11" t="s">
        <v>376</v>
      </c>
      <c r="L5" s="11" t="s">
        <v>377</v>
      </c>
    </row>
    <row r="6" spans="1:12" ht="15" customHeight="1" x14ac:dyDescent="0.25">
      <c r="A6" s="11" t="s">
        <v>122</v>
      </c>
      <c r="B6" s="11" t="s">
        <v>65</v>
      </c>
      <c r="C6" s="11" t="s">
        <v>375</v>
      </c>
      <c r="D6" s="11" t="s">
        <v>375</v>
      </c>
      <c r="E6" s="11">
        <v>1</v>
      </c>
      <c r="F6" s="11" t="s">
        <v>104</v>
      </c>
      <c r="G6" s="11" t="s">
        <v>124</v>
      </c>
      <c r="H6" s="11"/>
      <c r="I6" s="11"/>
      <c r="J6" s="11" t="s">
        <v>103</v>
      </c>
      <c r="K6" s="11" t="s">
        <v>376</v>
      </c>
      <c r="L6" s="11" t="s">
        <v>377</v>
      </c>
    </row>
    <row r="7" spans="1:12" ht="23.25" customHeight="1" x14ac:dyDescent="0.25">
      <c r="A7" s="11" t="s">
        <v>125</v>
      </c>
      <c r="B7" s="11" t="s">
        <v>65</v>
      </c>
      <c r="C7" s="11" t="s">
        <v>375</v>
      </c>
      <c r="D7" s="11" t="s">
        <v>375</v>
      </c>
      <c r="E7" s="11">
        <v>1</v>
      </c>
      <c r="F7" s="11" t="s">
        <v>104</v>
      </c>
      <c r="G7" s="11" t="s">
        <v>127</v>
      </c>
      <c r="H7" s="11"/>
      <c r="I7" s="11"/>
      <c r="J7" s="11" t="s">
        <v>120</v>
      </c>
      <c r="K7" s="11" t="s">
        <v>376</v>
      </c>
      <c r="L7" s="11" t="s">
        <v>377</v>
      </c>
    </row>
    <row r="8" spans="1:12" ht="15" customHeight="1" x14ac:dyDescent="0.25">
      <c r="A8" s="12" t="s">
        <v>128</v>
      </c>
      <c r="B8" s="12" t="s">
        <v>65</v>
      </c>
      <c r="C8" s="12" t="s">
        <v>375</v>
      </c>
      <c r="D8" s="12" t="s">
        <v>375</v>
      </c>
      <c r="E8" s="12">
        <v>1</v>
      </c>
      <c r="F8" s="12" t="s">
        <v>133</v>
      </c>
      <c r="G8" s="12"/>
      <c r="H8" s="12"/>
      <c r="I8" s="12"/>
      <c r="J8" s="12" t="s">
        <v>132</v>
      </c>
      <c r="K8" s="12" t="s">
        <v>376</v>
      </c>
      <c r="L8" s="12" t="s">
        <v>377</v>
      </c>
    </row>
    <row r="9" spans="1:12" ht="15" customHeight="1" x14ac:dyDescent="0.25">
      <c r="A9" s="12" t="s">
        <v>137</v>
      </c>
      <c r="B9" s="12" t="s">
        <v>65</v>
      </c>
      <c r="C9" s="12" t="s">
        <v>375</v>
      </c>
      <c r="D9" s="12" t="s">
        <v>375</v>
      </c>
      <c r="E9" s="12">
        <v>1</v>
      </c>
      <c r="F9" s="12" t="s">
        <v>133</v>
      </c>
      <c r="G9" s="12"/>
      <c r="H9" s="12"/>
      <c r="I9" s="12"/>
      <c r="J9" s="12" t="s">
        <v>132</v>
      </c>
      <c r="K9" s="12" t="s">
        <v>376</v>
      </c>
      <c r="L9" s="12" t="s">
        <v>377</v>
      </c>
    </row>
    <row r="10" spans="1:12" ht="15" customHeight="1" x14ac:dyDescent="0.25">
      <c r="A10" s="11" t="s">
        <v>141</v>
      </c>
      <c r="B10" s="11" t="s">
        <v>65</v>
      </c>
      <c r="C10" s="11" t="s">
        <v>375</v>
      </c>
      <c r="D10" s="11" t="s">
        <v>375</v>
      </c>
      <c r="E10" s="11">
        <v>1</v>
      </c>
      <c r="F10" s="11" t="s">
        <v>104</v>
      </c>
      <c r="G10" s="11" t="s">
        <v>143</v>
      </c>
      <c r="H10" s="11"/>
      <c r="I10" s="11"/>
      <c r="J10" s="11" t="s">
        <v>132</v>
      </c>
      <c r="K10" s="11" t="s">
        <v>376</v>
      </c>
      <c r="L10" s="11" t="s">
        <v>377</v>
      </c>
    </row>
    <row r="11" spans="1:12" ht="15" customHeight="1" x14ac:dyDescent="0.25">
      <c r="A11" s="11" t="s">
        <v>144</v>
      </c>
      <c r="B11" s="11" t="s">
        <v>65</v>
      </c>
      <c r="C11" s="11" t="s">
        <v>375</v>
      </c>
      <c r="D11" s="11" t="s">
        <v>375</v>
      </c>
      <c r="E11" s="11">
        <v>1</v>
      </c>
      <c r="F11" s="11" t="s">
        <v>104</v>
      </c>
      <c r="G11" s="11" t="s">
        <v>146</v>
      </c>
      <c r="H11" s="11"/>
      <c r="I11" s="11"/>
      <c r="J11" s="11" t="s">
        <v>132</v>
      </c>
      <c r="K11" s="11" t="s">
        <v>376</v>
      </c>
      <c r="L11" s="11" t="s">
        <v>377</v>
      </c>
    </row>
    <row r="12" spans="1:12" ht="15" customHeight="1" x14ac:dyDescent="0.25">
      <c r="A12" s="11" t="s">
        <v>147</v>
      </c>
      <c r="B12" s="11" t="s">
        <v>65</v>
      </c>
      <c r="C12" s="11" t="s">
        <v>375</v>
      </c>
      <c r="D12" s="11" t="s">
        <v>375</v>
      </c>
      <c r="E12" s="11">
        <v>1</v>
      </c>
      <c r="F12" s="11" t="s">
        <v>104</v>
      </c>
      <c r="G12" s="11" t="s">
        <v>149</v>
      </c>
      <c r="H12" s="11"/>
      <c r="I12" s="11"/>
      <c r="J12" s="11" t="s">
        <v>132</v>
      </c>
      <c r="K12" s="11" t="s">
        <v>376</v>
      </c>
      <c r="L12" s="11" t="s">
        <v>377</v>
      </c>
    </row>
    <row r="13" spans="1:12" ht="15" customHeight="1" x14ac:dyDescent="0.25">
      <c r="A13" s="11" t="s">
        <v>150</v>
      </c>
      <c r="B13" s="11" t="s">
        <v>65</v>
      </c>
      <c r="C13" s="11" t="s">
        <v>375</v>
      </c>
      <c r="D13" s="11" t="s">
        <v>375</v>
      </c>
      <c r="E13" s="11">
        <v>1</v>
      </c>
      <c r="F13" s="11" t="s">
        <v>104</v>
      </c>
      <c r="G13" s="11" t="s">
        <v>152</v>
      </c>
      <c r="H13" s="11"/>
      <c r="I13" s="11"/>
      <c r="J13" s="11" t="s">
        <v>132</v>
      </c>
      <c r="K13" s="11" t="s">
        <v>376</v>
      </c>
      <c r="L13" s="11" t="s">
        <v>377</v>
      </c>
    </row>
    <row r="14" spans="1:12" ht="15" customHeight="1" x14ac:dyDescent="0.25">
      <c r="A14" s="11" t="s">
        <v>153</v>
      </c>
      <c r="B14" s="11" t="s">
        <v>65</v>
      </c>
      <c r="C14" s="11" t="s">
        <v>375</v>
      </c>
      <c r="D14" s="11" t="s">
        <v>375</v>
      </c>
      <c r="E14" s="11">
        <v>1</v>
      </c>
      <c r="F14" s="11" t="s">
        <v>104</v>
      </c>
      <c r="G14" s="11" t="s">
        <v>155</v>
      </c>
      <c r="H14" s="11"/>
      <c r="I14" s="11"/>
      <c r="J14" s="11" t="s">
        <v>132</v>
      </c>
      <c r="K14" s="11" t="s">
        <v>376</v>
      </c>
      <c r="L14" s="11" t="s">
        <v>377</v>
      </c>
    </row>
    <row r="15" spans="1:12" ht="15" customHeight="1" x14ac:dyDescent="0.25">
      <c r="A15" s="11" t="s">
        <v>156</v>
      </c>
      <c r="B15" s="11" t="s">
        <v>65</v>
      </c>
      <c r="C15" s="11" t="s">
        <v>375</v>
      </c>
      <c r="D15" s="11" t="s">
        <v>375</v>
      </c>
      <c r="E15" s="11">
        <v>1</v>
      </c>
      <c r="F15" s="11" t="s">
        <v>104</v>
      </c>
      <c r="G15" s="11" t="s">
        <v>158</v>
      </c>
      <c r="H15" s="11"/>
      <c r="I15" s="11"/>
      <c r="J15" s="11" t="s">
        <v>132</v>
      </c>
      <c r="K15" s="11" t="s">
        <v>376</v>
      </c>
      <c r="L15" s="11" t="s">
        <v>377</v>
      </c>
    </row>
    <row r="16" spans="1:12" ht="23.25" customHeight="1" x14ac:dyDescent="0.25">
      <c r="A16" s="11" t="s">
        <v>159</v>
      </c>
      <c r="B16" s="11" t="s">
        <v>65</v>
      </c>
      <c r="C16" s="11" t="s">
        <v>375</v>
      </c>
      <c r="D16" s="11" t="s">
        <v>375</v>
      </c>
      <c r="E16" s="11">
        <v>1</v>
      </c>
      <c r="F16" s="11" t="s">
        <v>104</v>
      </c>
      <c r="G16" s="11" t="s">
        <v>161</v>
      </c>
      <c r="H16" s="11"/>
      <c r="I16" s="11"/>
      <c r="J16" s="11" t="s">
        <v>120</v>
      </c>
      <c r="K16" s="11" t="s">
        <v>376</v>
      </c>
      <c r="L16" s="11" t="s">
        <v>377</v>
      </c>
    </row>
    <row r="17" spans="1:12" ht="15" customHeight="1" x14ac:dyDescent="0.25">
      <c r="A17" s="11" t="s">
        <v>162</v>
      </c>
      <c r="B17" s="11" t="s">
        <v>65</v>
      </c>
      <c r="C17" s="11" t="s">
        <v>375</v>
      </c>
      <c r="D17" s="11" t="s">
        <v>375</v>
      </c>
      <c r="E17" s="11">
        <v>1</v>
      </c>
      <c r="F17" s="11" t="s">
        <v>104</v>
      </c>
      <c r="G17" s="11" t="s">
        <v>164</v>
      </c>
      <c r="H17" s="11"/>
      <c r="I17" s="11"/>
      <c r="J17" s="11" t="s">
        <v>120</v>
      </c>
      <c r="K17" s="11" t="s">
        <v>376</v>
      </c>
      <c r="L17" s="11" t="s">
        <v>377</v>
      </c>
    </row>
    <row r="18" spans="1:12" ht="15" customHeight="1" x14ac:dyDescent="0.25">
      <c r="A18" s="11" t="s">
        <v>165</v>
      </c>
      <c r="B18" s="11" t="s">
        <v>65</v>
      </c>
      <c r="C18" s="11" t="s">
        <v>375</v>
      </c>
      <c r="D18" s="11" t="s">
        <v>375</v>
      </c>
      <c r="E18" s="11">
        <v>1</v>
      </c>
      <c r="F18" s="11" t="s">
        <v>104</v>
      </c>
      <c r="G18" s="11" t="s">
        <v>167</v>
      </c>
      <c r="H18" s="11"/>
      <c r="I18" s="11"/>
      <c r="J18" s="11" t="s">
        <v>132</v>
      </c>
      <c r="K18" s="11" t="s">
        <v>376</v>
      </c>
      <c r="L18" s="11" t="s">
        <v>377</v>
      </c>
    </row>
    <row r="19" spans="1:12" ht="15" customHeight="1" x14ac:dyDescent="0.25">
      <c r="A19" s="12" t="s">
        <v>168</v>
      </c>
      <c r="B19" s="12" t="s">
        <v>65</v>
      </c>
      <c r="C19" s="12" t="s">
        <v>375</v>
      </c>
      <c r="D19" s="12" t="s">
        <v>375</v>
      </c>
      <c r="E19" s="12">
        <v>1</v>
      </c>
      <c r="F19" s="12" t="s">
        <v>133</v>
      </c>
      <c r="G19" s="12"/>
      <c r="H19" s="12"/>
      <c r="I19" s="12"/>
      <c r="J19" s="12" t="s">
        <v>132</v>
      </c>
      <c r="K19" s="12" t="s">
        <v>376</v>
      </c>
      <c r="L19" s="12" t="s">
        <v>377</v>
      </c>
    </row>
    <row r="20" spans="1:12" ht="15" customHeight="1" x14ac:dyDescent="0.25">
      <c r="A20" s="11" t="s">
        <v>172</v>
      </c>
      <c r="B20" s="11" t="s">
        <v>65</v>
      </c>
      <c r="C20" s="11" t="s">
        <v>375</v>
      </c>
      <c r="D20" s="11" t="s">
        <v>375</v>
      </c>
      <c r="E20" s="11">
        <v>1</v>
      </c>
      <c r="F20" s="11" t="s">
        <v>104</v>
      </c>
      <c r="G20" s="11" t="s">
        <v>174</v>
      </c>
      <c r="H20" s="11"/>
      <c r="I20" s="11"/>
      <c r="J20" s="11" t="s">
        <v>132</v>
      </c>
      <c r="K20" s="11" t="s">
        <v>376</v>
      </c>
      <c r="L20" s="11" t="s">
        <v>377</v>
      </c>
    </row>
    <row r="21" spans="1:12" ht="15" customHeight="1" x14ac:dyDescent="0.25">
      <c r="A21" s="12" t="s">
        <v>175</v>
      </c>
      <c r="B21" s="12" t="s">
        <v>65</v>
      </c>
      <c r="C21" s="12" t="s">
        <v>375</v>
      </c>
      <c r="D21" s="12" t="s">
        <v>375</v>
      </c>
      <c r="E21" s="12">
        <v>1</v>
      </c>
      <c r="F21" s="12" t="s">
        <v>133</v>
      </c>
      <c r="G21" s="12"/>
      <c r="H21" s="12"/>
      <c r="I21" s="12"/>
      <c r="J21" s="12" t="s">
        <v>132</v>
      </c>
      <c r="K21" s="12" t="s">
        <v>376</v>
      </c>
      <c r="L21" s="12" t="s">
        <v>377</v>
      </c>
    </row>
    <row r="22" spans="1:12" ht="15" customHeight="1" x14ac:dyDescent="0.25">
      <c r="A22" s="11" t="s">
        <v>179</v>
      </c>
      <c r="B22" s="11" t="s">
        <v>65</v>
      </c>
      <c r="C22" s="11" t="s">
        <v>375</v>
      </c>
      <c r="D22" s="11" t="s">
        <v>375</v>
      </c>
      <c r="E22" s="11">
        <v>1</v>
      </c>
      <c r="F22" s="11" t="s">
        <v>104</v>
      </c>
      <c r="G22" s="11" t="s">
        <v>155</v>
      </c>
      <c r="H22" s="11"/>
      <c r="I22" s="11"/>
      <c r="J22" s="11" t="s">
        <v>132</v>
      </c>
      <c r="K22" s="11" t="s">
        <v>376</v>
      </c>
      <c r="L22" s="11" t="s">
        <v>377</v>
      </c>
    </row>
    <row r="23" spans="1:12" ht="15" customHeight="1" x14ac:dyDescent="0.25">
      <c r="A23" s="11" t="s">
        <v>181</v>
      </c>
      <c r="B23" s="11" t="s">
        <v>65</v>
      </c>
      <c r="C23" s="11" t="s">
        <v>375</v>
      </c>
      <c r="D23" s="11" t="s">
        <v>375</v>
      </c>
      <c r="E23" s="11">
        <v>1</v>
      </c>
      <c r="F23" s="11" t="s">
        <v>104</v>
      </c>
      <c r="G23" s="11" t="s">
        <v>185</v>
      </c>
      <c r="H23" s="11"/>
      <c r="I23" s="11"/>
      <c r="J23" s="11" t="s">
        <v>184</v>
      </c>
      <c r="K23" s="11" t="s">
        <v>376</v>
      </c>
      <c r="L23" s="11" t="s">
        <v>377</v>
      </c>
    </row>
    <row r="24" spans="1:12" ht="15" customHeight="1" x14ac:dyDescent="0.25">
      <c r="A24" s="11" t="s">
        <v>186</v>
      </c>
      <c r="B24" s="11" t="s">
        <v>65</v>
      </c>
      <c r="C24" s="11" t="s">
        <v>375</v>
      </c>
      <c r="D24" s="11" t="s">
        <v>375</v>
      </c>
      <c r="E24" s="11">
        <v>1</v>
      </c>
      <c r="F24" s="11" t="s">
        <v>104</v>
      </c>
      <c r="G24" s="11" t="s">
        <v>188</v>
      </c>
      <c r="H24" s="11"/>
      <c r="I24" s="11"/>
      <c r="J24" s="11" t="s">
        <v>120</v>
      </c>
      <c r="K24" s="11" t="s">
        <v>376</v>
      </c>
      <c r="L24" s="11" t="s">
        <v>377</v>
      </c>
    </row>
    <row r="25" spans="1:12" ht="15" customHeight="1" x14ac:dyDescent="0.25">
      <c r="A25" s="11" t="s">
        <v>189</v>
      </c>
      <c r="B25" s="11" t="s">
        <v>65</v>
      </c>
      <c r="C25" s="11" t="s">
        <v>375</v>
      </c>
      <c r="D25" s="11" t="s">
        <v>375</v>
      </c>
      <c r="E25" s="11">
        <v>1</v>
      </c>
      <c r="F25" s="11" t="s">
        <v>104</v>
      </c>
      <c r="G25" s="11" t="s">
        <v>164</v>
      </c>
      <c r="H25" s="11"/>
      <c r="I25" s="11"/>
      <c r="J25" s="11" t="s">
        <v>120</v>
      </c>
      <c r="K25" s="11" t="s">
        <v>376</v>
      </c>
      <c r="L25" s="11" t="s">
        <v>377</v>
      </c>
    </row>
    <row r="26" spans="1:12" ht="15" customHeight="1" x14ac:dyDescent="0.25">
      <c r="A26" s="11" t="s">
        <v>191</v>
      </c>
      <c r="B26" s="11" t="s">
        <v>65</v>
      </c>
      <c r="C26" s="11" t="s">
        <v>375</v>
      </c>
      <c r="D26" s="11" t="s">
        <v>375</v>
      </c>
      <c r="E26" s="11">
        <v>1</v>
      </c>
      <c r="F26" s="11" t="s">
        <v>196</v>
      </c>
      <c r="G26" s="11" t="s">
        <v>378</v>
      </c>
      <c r="H26" s="11"/>
      <c r="I26" s="11"/>
      <c r="J26" s="11" t="s">
        <v>120</v>
      </c>
      <c r="K26" s="11" t="s">
        <v>376</v>
      </c>
      <c r="L26" s="11" t="s">
        <v>377</v>
      </c>
    </row>
    <row r="27" spans="1:12" ht="15" customHeight="1" x14ac:dyDescent="0.25">
      <c r="A27" s="11" t="s">
        <v>198</v>
      </c>
      <c r="B27" s="11" t="s">
        <v>65</v>
      </c>
      <c r="C27" s="11" t="s">
        <v>375</v>
      </c>
      <c r="D27" s="11" t="s">
        <v>375</v>
      </c>
      <c r="E27" s="11">
        <v>1</v>
      </c>
      <c r="F27" s="11" t="s">
        <v>104</v>
      </c>
      <c r="G27" s="11" t="s">
        <v>164</v>
      </c>
      <c r="H27" s="11"/>
      <c r="I27" s="11"/>
      <c r="J27" s="11" t="s">
        <v>120</v>
      </c>
      <c r="K27" s="11" t="s">
        <v>376</v>
      </c>
      <c r="L27" s="11" t="s">
        <v>377</v>
      </c>
    </row>
    <row r="28" spans="1:12" ht="15" customHeight="1" x14ac:dyDescent="0.25">
      <c r="A28" s="11" t="s">
        <v>200</v>
      </c>
      <c r="B28" s="11" t="s">
        <v>65</v>
      </c>
      <c r="C28" s="11" t="s">
        <v>375</v>
      </c>
      <c r="D28" s="11" t="s">
        <v>375</v>
      </c>
      <c r="E28" s="11">
        <v>1</v>
      </c>
      <c r="F28" s="11" t="s">
        <v>104</v>
      </c>
      <c r="G28" s="11" t="s">
        <v>188</v>
      </c>
      <c r="H28" s="11"/>
      <c r="I28" s="11"/>
      <c r="J28" s="11" t="s">
        <v>120</v>
      </c>
      <c r="K28" s="11" t="s">
        <v>376</v>
      </c>
      <c r="L28" s="11" t="s">
        <v>377</v>
      </c>
    </row>
    <row r="29" spans="1:12" ht="15" customHeight="1" x14ac:dyDescent="0.25">
      <c r="A29" s="11" t="s">
        <v>202</v>
      </c>
      <c r="B29" s="11" t="s">
        <v>65</v>
      </c>
      <c r="C29" s="11" t="s">
        <v>375</v>
      </c>
      <c r="D29" s="11" t="s">
        <v>375</v>
      </c>
      <c r="E29" s="11">
        <v>1</v>
      </c>
      <c r="F29" s="11" t="s">
        <v>104</v>
      </c>
      <c r="G29" s="11" t="s">
        <v>164</v>
      </c>
      <c r="H29" s="11"/>
      <c r="I29" s="11"/>
      <c r="J29" s="11" t="s">
        <v>120</v>
      </c>
      <c r="K29" s="11" t="s">
        <v>376</v>
      </c>
      <c r="L29" s="11" t="s">
        <v>377</v>
      </c>
    </row>
    <row r="30" spans="1:12" ht="15" customHeight="1" x14ac:dyDescent="0.25">
      <c r="A30" s="11" t="s">
        <v>204</v>
      </c>
      <c r="B30" s="11" t="s">
        <v>65</v>
      </c>
      <c r="C30" s="11" t="s">
        <v>375</v>
      </c>
      <c r="D30" s="11" t="s">
        <v>375</v>
      </c>
      <c r="E30" s="11">
        <v>1</v>
      </c>
      <c r="F30" s="11" t="s">
        <v>104</v>
      </c>
      <c r="G30" s="11" t="s">
        <v>206</v>
      </c>
      <c r="H30" s="11"/>
      <c r="I30" s="11"/>
      <c r="J30" s="11" t="s">
        <v>120</v>
      </c>
      <c r="K30" s="11" t="s">
        <v>376</v>
      </c>
      <c r="L30" s="11" t="s">
        <v>377</v>
      </c>
    </row>
    <row r="31" spans="1:12" ht="15" customHeight="1" x14ac:dyDescent="0.25">
      <c r="A31" s="11" t="s">
        <v>207</v>
      </c>
      <c r="B31" s="11" t="s">
        <v>65</v>
      </c>
      <c r="C31" s="11" t="s">
        <v>375</v>
      </c>
      <c r="D31" s="11" t="s">
        <v>375</v>
      </c>
      <c r="E31" s="11">
        <v>1</v>
      </c>
      <c r="F31" s="11" t="s">
        <v>104</v>
      </c>
      <c r="G31" s="11" t="s">
        <v>209</v>
      </c>
      <c r="H31" s="11"/>
      <c r="I31" s="11"/>
      <c r="J31" s="11" t="s">
        <v>103</v>
      </c>
      <c r="K31" s="11" t="s">
        <v>376</v>
      </c>
      <c r="L31" s="11" t="s">
        <v>377</v>
      </c>
    </row>
    <row r="32" spans="1:12" ht="15" customHeight="1" x14ac:dyDescent="0.25">
      <c r="A32" s="11" t="s">
        <v>210</v>
      </c>
      <c r="B32" s="11" t="s">
        <v>65</v>
      </c>
      <c r="C32" s="11" t="s">
        <v>375</v>
      </c>
      <c r="D32" s="11" t="s">
        <v>375</v>
      </c>
      <c r="E32" s="11">
        <v>1</v>
      </c>
      <c r="F32" s="11" t="s">
        <v>104</v>
      </c>
      <c r="G32" s="11" t="s">
        <v>105</v>
      </c>
      <c r="H32" s="11"/>
      <c r="I32" s="11"/>
      <c r="J32" s="11" t="s">
        <v>103</v>
      </c>
      <c r="K32" s="11" t="s">
        <v>376</v>
      </c>
      <c r="L32" s="11" t="s">
        <v>377</v>
      </c>
    </row>
    <row r="33" spans="1:12" ht="15" customHeight="1" x14ac:dyDescent="0.25">
      <c r="A33" s="11" t="s">
        <v>212</v>
      </c>
      <c r="B33" s="11" t="s">
        <v>65</v>
      </c>
      <c r="C33" s="11" t="s">
        <v>375</v>
      </c>
      <c r="D33" s="11" t="s">
        <v>375</v>
      </c>
      <c r="E33" s="11">
        <v>1</v>
      </c>
      <c r="F33" s="11" t="s">
        <v>104</v>
      </c>
      <c r="G33" s="11" t="s">
        <v>215</v>
      </c>
      <c r="H33" s="11"/>
      <c r="I33" s="11"/>
      <c r="J33" s="11" t="s">
        <v>214</v>
      </c>
      <c r="K33" s="11" t="s">
        <v>376</v>
      </c>
      <c r="L33" s="11" t="s">
        <v>377</v>
      </c>
    </row>
    <row r="34" spans="1:12" ht="15" customHeight="1" x14ac:dyDescent="0.25">
      <c r="A34" s="11" t="s">
        <v>216</v>
      </c>
      <c r="B34" s="11" t="s">
        <v>65</v>
      </c>
      <c r="C34" s="11" t="s">
        <v>375</v>
      </c>
      <c r="D34" s="11" t="s">
        <v>375</v>
      </c>
      <c r="E34" s="11">
        <v>1</v>
      </c>
      <c r="F34" s="11" t="s">
        <v>104</v>
      </c>
      <c r="G34" s="11" t="s">
        <v>218</v>
      </c>
      <c r="H34" s="11"/>
      <c r="I34" s="11"/>
      <c r="J34" s="11" t="s">
        <v>214</v>
      </c>
      <c r="K34" s="11" t="s">
        <v>376</v>
      </c>
      <c r="L34" s="11" t="s">
        <v>377</v>
      </c>
    </row>
    <row r="35" spans="1:12" ht="15" customHeight="1" x14ac:dyDescent="0.25">
      <c r="A35" s="11" t="s">
        <v>219</v>
      </c>
      <c r="B35" s="11" t="s">
        <v>65</v>
      </c>
      <c r="C35" s="11" t="s">
        <v>375</v>
      </c>
      <c r="D35" s="11" t="s">
        <v>375</v>
      </c>
      <c r="E35" s="11">
        <v>1</v>
      </c>
      <c r="F35" s="11" t="s">
        <v>104</v>
      </c>
      <c r="G35" s="11" t="s">
        <v>221</v>
      </c>
      <c r="H35" s="11"/>
      <c r="I35" s="11"/>
      <c r="J35" s="11" t="s">
        <v>214</v>
      </c>
      <c r="K35" s="11" t="s">
        <v>376</v>
      </c>
      <c r="L35" s="11" t="s">
        <v>377</v>
      </c>
    </row>
    <row r="36" spans="1:12" ht="15" customHeight="1" x14ac:dyDescent="0.25">
      <c r="A36" s="11" t="s">
        <v>222</v>
      </c>
      <c r="B36" s="11" t="s">
        <v>65</v>
      </c>
      <c r="C36" s="11" t="s">
        <v>375</v>
      </c>
      <c r="D36" s="11" t="s">
        <v>375</v>
      </c>
      <c r="E36" s="11">
        <v>1</v>
      </c>
      <c r="F36" s="11" t="s">
        <v>104</v>
      </c>
      <c r="G36" s="11" t="s">
        <v>224</v>
      </c>
      <c r="H36" s="11"/>
      <c r="I36" s="11"/>
      <c r="J36" s="11" t="s">
        <v>214</v>
      </c>
      <c r="K36" s="11" t="s">
        <v>376</v>
      </c>
      <c r="L36" s="11" t="s">
        <v>377</v>
      </c>
    </row>
    <row r="37" spans="1:12" ht="15" customHeight="1" x14ac:dyDescent="0.25">
      <c r="A37" s="11" t="s">
        <v>225</v>
      </c>
      <c r="B37" s="11" t="s">
        <v>65</v>
      </c>
      <c r="C37" s="11" t="s">
        <v>375</v>
      </c>
      <c r="D37" s="11" t="s">
        <v>375</v>
      </c>
      <c r="E37" s="11">
        <v>1</v>
      </c>
      <c r="F37" s="11" t="s">
        <v>104</v>
      </c>
      <c r="G37" s="11" t="s">
        <v>227</v>
      </c>
      <c r="H37" s="11"/>
      <c r="I37" s="11"/>
      <c r="J37" s="11" t="s">
        <v>214</v>
      </c>
      <c r="K37" s="11" t="s">
        <v>376</v>
      </c>
      <c r="L37" s="11" t="s">
        <v>377</v>
      </c>
    </row>
    <row r="38" spans="1:12" ht="15" customHeight="1" x14ac:dyDescent="0.25">
      <c r="A38" s="11" t="s">
        <v>228</v>
      </c>
      <c r="B38" s="11" t="s">
        <v>65</v>
      </c>
      <c r="C38" s="11" t="s">
        <v>375</v>
      </c>
      <c r="D38" s="11" t="s">
        <v>375</v>
      </c>
      <c r="E38" s="11">
        <v>1</v>
      </c>
      <c r="F38" s="11" t="s">
        <v>104</v>
      </c>
      <c r="G38" s="11" t="s">
        <v>231</v>
      </c>
      <c r="H38" s="11"/>
      <c r="I38" s="11"/>
      <c r="J38" s="11" t="s">
        <v>230</v>
      </c>
      <c r="K38" s="11" t="s">
        <v>376</v>
      </c>
      <c r="L38" s="11" t="s">
        <v>377</v>
      </c>
    </row>
    <row r="39" spans="1:12" ht="15" customHeight="1" x14ac:dyDescent="0.25">
      <c r="A39" s="11" t="s">
        <v>232</v>
      </c>
      <c r="B39" s="11" t="s">
        <v>65</v>
      </c>
      <c r="C39" s="11" t="s">
        <v>375</v>
      </c>
      <c r="D39" s="11" t="s">
        <v>375</v>
      </c>
      <c r="E39" s="11">
        <v>1</v>
      </c>
      <c r="F39" s="11" t="s">
        <v>104</v>
      </c>
      <c r="G39" s="11" t="s">
        <v>234</v>
      </c>
      <c r="H39" s="11"/>
      <c r="I39" s="11"/>
      <c r="J39" s="11" t="s">
        <v>230</v>
      </c>
      <c r="K39" s="11" t="s">
        <v>376</v>
      </c>
      <c r="L39" s="11" t="s">
        <v>377</v>
      </c>
    </row>
    <row r="40" spans="1:12" ht="15" customHeight="1" x14ac:dyDescent="0.25">
      <c r="A40" s="11" t="s">
        <v>235</v>
      </c>
      <c r="B40" s="11" t="s">
        <v>65</v>
      </c>
      <c r="C40" s="11" t="s">
        <v>375</v>
      </c>
      <c r="D40" s="11" t="s">
        <v>375</v>
      </c>
      <c r="E40" s="11">
        <v>1</v>
      </c>
      <c r="F40" s="11" t="s">
        <v>104</v>
      </c>
      <c r="G40" s="11" t="s">
        <v>237</v>
      </c>
      <c r="H40" s="11"/>
      <c r="I40" s="11"/>
      <c r="J40" s="11" t="s">
        <v>230</v>
      </c>
      <c r="K40" s="11" t="s">
        <v>376</v>
      </c>
      <c r="L40" s="11" t="s">
        <v>377</v>
      </c>
    </row>
    <row r="41" spans="1:12" ht="15" customHeight="1" x14ac:dyDescent="0.25">
      <c r="A41" s="11" t="s">
        <v>238</v>
      </c>
      <c r="B41" s="11" t="s">
        <v>65</v>
      </c>
      <c r="C41" s="11" t="s">
        <v>375</v>
      </c>
      <c r="D41" s="11" t="s">
        <v>375</v>
      </c>
      <c r="E41" s="11">
        <v>1</v>
      </c>
      <c r="F41" s="11" t="s">
        <v>104</v>
      </c>
      <c r="G41" s="11" t="s">
        <v>240</v>
      </c>
      <c r="H41" s="11"/>
      <c r="I41" s="11"/>
      <c r="J41" s="11" t="s">
        <v>230</v>
      </c>
      <c r="K41" s="11" t="s">
        <v>376</v>
      </c>
      <c r="L41" s="11" t="s">
        <v>377</v>
      </c>
    </row>
    <row r="42" spans="1:12" ht="15" customHeight="1" x14ac:dyDescent="0.25">
      <c r="A42" s="11" t="s">
        <v>241</v>
      </c>
      <c r="B42" s="11" t="s">
        <v>65</v>
      </c>
      <c r="C42" s="11" t="s">
        <v>375</v>
      </c>
      <c r="D42" s="11" t="s">
        <v>375</v>
      </c>
      <c r="E42" s="11">
        <v>1</v>
      </c>
      <c r="F42" s="11" t="s">
        <v>104</v>
      </c>
      <c r="G42" s="11" t="s">
        <v>243</v>
      </c>
      <c r="H42" s="11"/>
      <c r="I42" s="11"/>
      <c r="J42" s="11" t="s">
        <v>230</v>
      </c>
      <c r="K42" s="11" t="s">
        <v>376</v>
      </c>
      <c r="L42" s="11" t="s">
        <v>377</v>
      </c>
    </row>
    <row r="43" spans="1:12" ht="15" customHeight="1" x14ac:dyDescent="0.25">
      <c r="A43" s="11" t="s">
        <v>244</v>
      </c>
      <c r="B43" s="11" t="s">
        <v>65</v>
      </c>
      <c r="C43" s="11" t="s">
        <v>375</v>
      </c>
      <c r="D43" s="11" t="s">
        <v>375</v>
      </c>
      <c r="E43" s="11">
        <v>1</v>
      </c>
      <c r="F43" s="11" t="s">
        <v>104</v>
      </c>
      <c r="G43" s="11" t="s">
        <v>246</v>
      </c>
      <c r="H43" s="11"/>
      <c r="I43" s="11"/>
      <c r="J43" s="11" t="s">
        <v>230</v>
      </c>
      <c r="K43" s="11" t="s">
        <v>376</v>
      </c>
      <c r="L43" s="11" t="s">
        <v>377</v>
      </c>
    </row>
    <row r="44" spans="1:12" ht="15" customHeight="1" x14ac:dyDescent="0.25">
      <c r="A44" s="11" t="s">
        <v>247</v>
      </c>
      <c r="B44" s="11" t="s">
        <v>65</v>
      </c>
      <c r="C44" s="11" t="s">
        <v>375</v>
      </c>
      <c r="D44" s="11" t="s">
        <v>375</v>
      </c>
      <c r="E44" s="11">
        <v>1</v>
      </c>
      <c r="F44" s="11" t="s">
        <v>104</v>
      </c>
      <c r="G44" s="11" t="s">
        <v>249</v>
      </c>
      <c r="H44" s="11"/>
      <c r="I44" s="11"/>
      <c r="J44" s="11" t="s">
        <v>120</v>
      </c>
      <c r="K44" s="11" t="s">
        <v>376</v>
      </c>
      <c r="L44" s="11" t="s">
        <v>377</v>
      </c>
    </row>
    <row r="45" spans="1:12" ht="15" customHeight="1" x14ac:dyDescent="0.25">
      <c r="A45" s="11" t="s">
        <v>250</v>
      </c>
      <c r="B45" s="11" t="s">
        <v>65</v>
      </c>
      <c r="C45" s="11" t="s">
        <v>375</v>
      </c>
      <c r="D45" s="11" t="s">
        <v>375</v>
      </c>
      <c r="E45" s="11">
        <v>1</v>
      </c>
      <c r="F45" s="11" t="s">
        <v>104</v>
      </c>
      <c r="G45" s="11" t="s">
        <v>252</v>
      </c>
      <c r="H45" s="11"/>
      <c r="I45" s="11"/>
      <c r="J45" s="11" t="s">
        <v>120</v>
      </c>
      <c r="K45" s="11" t="s">
        <v>376</v>
      </c>
      <c r="L45" s="11" t="s">
        <v>377</v>
      </c>
    </row>
    <row r="46" spans="1:12" ht="15" customHeight="1" x14ac:dyDescent="0.25">
      <c r="A46" s="11" t="s">
        <v>253</v>
      </c>
      <c r="B46" s="11" t="s">
        <v>65</v>
      </c>
      <c r="C46" s="11" t="s">
        <v>375</v>
      </c>
      <c r="D46" s="11" t="s">
        <v>375</v>
      </c>
      <c r="E46" s="11">
        <v>1</v>
      </c>
      <c r="F46" s="11" t="s">
        <v>104</v>
      </c>
      <c r="G46" s="11" t="s">
        <v>255</v>
      </c>
      <c r="H46" s="11"/>
      <c r="I46" s="11"/>
      <c r="J46" s="11" t="s">
        <v>120</v>
      </c>
      <c r="K46" s="11" t="s">
        <v>376</v>
      </c>
      <c r="L46" s="11" t="s">
        <v>377</v>
      </c>
    </row>
    <row r="47" spans="1:12" ht="15" customHeight="1" x14ac:dyDescent="0.25">
      <c r="A47" s="11" t="s">
        <v>256</v>
      </c>
      <c r="B47" s="11" t="s">
        <v>65</v>
      </c>
      <c r="C47" s="11" t="s">
        <v>375</v>
      </c>
      <c r="D47" s="11" t="s">
        <v>375</v>
      </c>
      <c r="E47" s="11">
        <v>1</v>
      </c>
      <c r="F47" s="11" t="s">
        <v>104</v>
      </c>
      <c r="G47" s="11" t="s">
        <v>258</v>
      </c>
      <c r="H47" s="11"/>
      <c r="I47" s="11"/>
      <c r="J47" s="11" t="s">
        <v>120</v>
      </c>
      <c r="K47" s="11" t="s">
        <v>376</v>
      </c>
      <c r="L47" s="11" t="s">
        <v>377</v>
      </c>
    </row>
    <row r="48" spans="1:12" ht="15" customHeight="1" x14ac:dyDescent="0.25">
      <c r="A48" s="11" t="s">
        <v>259</v>
      </c>
      <c r="B48" s="11" t="s">
        <v>65</v>
      </c>
      <c r="C48" s="11" t="s">
        <v>375</v>
      </c>
      <c r="D48" s="11" t="s">
        <v>375</v>
      </c>
      <c r="E48" s="11">
        <v>1</v>
      </c>
      <c r="F48" s="11" t="s">
        <v>104</v>
      </c>
      <c r="G48" s="11" t="s">
        <v>261</v>
      </c>
      <c r="H48" s="11"/>
      <c r="I48" s="11"/>
      <c r="J48" s="11" t="s">
        <v>120</v>
      </c>
      <c r="K48" s="11" t="s">
        <v>376</v>
      </c>
      <c r="L48" s="11" t="s">
        <v>377</v>
      </c>
    </row>
    <row r="49" spans="1:12" ht="15" customHeight="1" x14ac:dyDescent="0.25">
      <c r="A49" s="11" t="s">
        <v>262</v>
      </c>
      <c r="B49" s="11" t="s">
        <v>65</v>
      </c>
      <c r="C49" s="11" t="s">
        <v>375</v>
      </c>
      <c r="D49" s="11" t="s">
        <v>375</v>
      </c>
      <c r="E49" s="11">
        <v>1</v>
      </c>
      <c r="F49" s="11" t="s">
        <v>104</v>
      </c>
      <c r="G49" s="11" t="s">
        <v>264</v>
      </c>
      <c r="H49" s="11"/>
      <c r="I49" s="11"/>
      <c r="J49" s="11" t="s">
        <v>120</v>
      </c>
      <c r="K49" s="11" t="s">
        <v>376</v>
      </c>
      <c r="L49" s="11" t="s">
        <v>377</v>
      </c>
    </row>
    <row r="50" spans="1:12" ht="15" customHeight="1" x14ac:dyDescent="0.25">
      <c r="A50" s="11" t="s">
        <v>265</v>
      </c>
      <c r="B50" s="11" t="s">
        <v>65</v>
      </c>
      <c r="C50" s="11" t="s">
        <v>375</v>
      </c>
      <c r="D50" s="11" t="s">
        <v>375</v>
      </c>
      <c r="E50" s="11">
        <v>1</v>
      </c>
      <c r="F50" s="11" t="s">
        <v>104</v>
      </c>
      <c r="G50" s="11" t="s">
        <v>267</v>
      </c>
      <c r="H50" s="11"/>
      <c r="I50" s="11"/>
      <c r="J50" s="11" t="s">
        <v>120</v>
      </c>
      <c r="K50" s="11" t="s">
        <v>376</v>
      </c>
      <c r="L50" s="11" t="s">
        <v>377</v>
      </c>
    </row>
    <row r="51" spans="1:12" ht="15" customHeight="1" x14ac:dyDescent="0.25">
      <c r="A51" s="11" t="s">
        <v>268</v>
      </c>
      <c r="B51" s="11" t="s">
        <v>65</v>
      </c>
      <c r="C51" s="11" t="s">
        <v>375</v>
      </c>
      <c r="D51" s="11" t="s">
        <v>375</v>
      </c>
      <c r="E51" s="11">
        <v>1</v>
      </c>
      <c r="F51" s="11" t="s">
        <v>104</v>
      </c>
      <c r="G51" s="11" t="s">
        <v>270</v>
      </c>
      <c r="H51" s="11"/>
      <c r="I51" s="11"/>
      <c r="J51" s="11" t="s">
        <v>120</v>
      </c>
      <c r="K51" s="11" t="s">
        <v>376</v>
      </c>
      <c r="L51" s="11" t="s">
        <v>377</v>
      </c>
    </row>
    <row r="52" spans="1:12" ht="15" customHeight="1" x14ac:dyDescent="0.25">
      <c r="A52" s="11" t="s">
        <v>271</v>
      </c>
      <c r="B52" s="11" t="s">
        <v>65</v>
      </c>
      <c r="C52" s="11" t="s">
        <v>375</v>
      </c>
      <c r="D52" s="11" t="s">
        <v>375</v>
      </c>
      <c r="E52" s="11">
        <v>1</v>
      </c>
      <c r="F52" s="11" t="s">
        <v>104</v>
      </c>
      <c r="G52" s="11" t="s">
        <v>274</v>
      </c>
      <c r="H52" s="11"/>
      <c r="I52" s="11"/>
      <c r="J52" s="11" t="s">
        <v>273</v>
      </c>
      <c r="K52" s="11" t="s">
        <v>376</v>
      </c>
      <c r="L52" s="11" t="s">
        <v>377</v>
      </c>
    </row>
    <row r="53" spans="1:12" ht="15" customHeight="1" x14ac:dyDescent="0.25">
      <c r="A53" s="11" t="s">
        <v>275</v>
      </c>
      <c r="B53" s="11" t="s">
        <v>65</v>
      </c>
      <c r="C53" s="11" t="s">
        <v>375</v>
      </c>
      <c r="D53" s="11" t="s">
        <v>375</v>
      </c>
      <c r="E53" s="11">
        <v>1</v>
      </c>
      <c r="F53" s="11" t="s">
        <v>104</v>
      </c>
      <c r="G53" s="11" t="s">
        <v>277</v>
      </c>
      <c r="H53" s="11"/>
      <c r="I53" s="11"/>
      <c r="J53" s="11" t="s">
        <v>230</v>
      </c>
      <c r="K53" s="11" t="s">
        <v>376</v>
      </c>
      <c r="L53" s="11" t="s">
        <v>377</v>
      </c>
    </row>
    <row r="54" spans="1:12" ht="15" customHeight="1" x14ac:dyDescent="0.25">
      <c r="A54" s="11" t="s">
        <v>278</v>
      </c>
      <c r="B54" s="11" t="s">
        <v>65</v>
      </c>
      <c r="C54" s="11" t="s">
        <v>375</v>
      </c>
      <c r="D54" s="11" t="s">
        <v>375</v>
      </c>
      <c r="E54" s="11">
        <v>1</v>
      </c>
      <c r="F54" s="11" t="s">
        <v>104</v>
      </c>
      <c r="G54" s="11" t="s">
        <v>280</v>
      </c>
      <c r="H54" s="11"/>
      <c r="I54" s="11"/>
      <c r="J54" s="11" t="s">
        <v>230</v>
      </c>
      <c r="K54" s="11" t="s">
        <v>376</v>
      </c>
      <c r="L54" s="11" t="s">
        <v>377</v>
      </c>
    </row>
    <row r="55" spans="1:12" ht="15" customHeight="1" x14ac:dyDescent="0.25">
      <c r="A55" s="11" t="s">
        <v>281</v>
      </c>
      <c r="B55" s="11" t="s">
        <v>65</v>
      </c>
      <c r="C55" s="11" t="s">
        <v>375</v>
      </c>
      <c r="D55" s="11" t="s">
        <v>375</v>
      </c>
      <c r="E55" s="11">
        <v>1</v>
      </c>
      <c r="F55" s="11" t="s">
        <v>104</v>
      </c>
      <c r="G55" s="11" t="s">
        <v>283</v>
      </c>
      <c r="H55" s="11"/>
      <c r="I55" s="11"/>
      <c r="J55" s="11" t="s">
        <v>230</v>
      </c>
      <c r="K55" s="11" t="s">
        <v>376</v>
      </c>
      <c r="L55" s="11" t="s">
        <v>377</v>
      </c>
    </row>
    <row r="56" spans="1:12" ht="15" customHeight="1" x14ac:dyDescent="0.25">
      <c r="A56" s="11" t="s">
        <v>284</v>
      </c>
      <c r="B56" s="11" t="s">
        <v>65</v>
      </c>
      <c r="C56" s="11" t="s">
        <v>375</v>
      </c>
      <c r="D56" s="11" t="s">
        <v>375</v>
      </c>
      <c r="E56" s="11">
        <v>1</v>
      </c>
      <c r="F56" s="11" t="s">
        <v>104</v>
      </c>
      <c r="G56" s="11" t="s">
        <v>185</v>
      </c>
      <c r="H56" s="11"/>
      <c r="I56" s="11"/>
      <c r="J56" s="11" t="s">
        <v>230</v>
      </c>
      <c r="K56" s="11" t="s">
        <v>376</v>
      </c>
      <c r="L56" s="11" t="s">
        <v>377</v>
      </c>
    </row>
    <row r="57" spans="1:12" ht="15" customHeight="1" x14ac:dyDescent="0.25">
      <c r="A57" s="11" t="s">
        <v>286</v>
      </c>
      <c r="B57" s="11" t="s">
        <v>65</v>
      </c>
      <c r="C57" s="11" t="s">
        <v>375</v>
      </c>
      <c r="D57" s="11" t="s">
        <v>375</v>
      </c>
      <c r="E57" s="11">
        <v>1</v>
      </c>
      <c r="F57" s="11" t="s">
        <v>104</v>
      </c>
      <c r="G57" s="11" t="s">
        <v>289</v>
      </c>
      <c r="H57" s="11"/>
      <c r="I57" s="11"/>
      <c r="J57" s="11" t="s">
        <v>288</v>
      </c>
      <c r="K57" s="11" t="s">
        <v>376</v>
      </c>
      <c r="L57" s="11" t="s">
        <v>377</v>
      </c>
    </row>
    <row r="58" spans="1:12" ht="15" customHeight="1" x14ac:dyDescent="0.25">
      <c r="A58" s="11" t="s">
        <v>290</v>
      </c>
      <c r="B58" s="11" t="s">
        <v>65</v>
      </c>
      <c r="C58" s="11" t="s">
        <v>375</v>
      </c>
      <c r="D58" s="11" t="s">
        <v>375</v>
      </c>
      <c r="E58" s="11">
        <v>1</v>
      </c>
      <c r="F58" s="11" t="s">
        <v>104</v>
      </c>
      <c r="G58" s="11" t="s">
        <v>292</v>
      </c>
      <c r="H58" s="11"/>
      <c r="I58" s="11"/>
      <c r="J58" s="11" t="s">
        <v>288</v>
      </c>
      <c r="K58" s="11" t="s">
        <v>376</v>
      </c>
      <c r="L58" s="11" t="s">
        <v>377</v>
      </c>
    </row>
    <row r="59" spans="1:12" ht="15" customHeight="1" x14ac:dyDescent="0.25">
      <c r="A59" s="11" t="s">
        <v>293</v>
      </c>
      <c r="B59" s="11" t="s">
        <v>65</v>
      </c>
      <c r="C59" s="11" t="s">
        <v>375</v>
      </c>
      <c r="D59" s="11" t="s">
        <v>375</v>
      </c>
      <c r="E59" s="11">
        <v>1</v>
      </c>
      <c r="F59" s="11" t="s">
        <v>104</v>
      </c>
      <c r="G59" s="11" t="s">
        <v>295</v>
      </c>
      <c r="H59" s="11"/>
      <c r="I59" s="11"/>
      <c r="J59" s="11" t="s">
        <v>288</v>
      </c>
      <c r="K59" s="11" t="s">
        <v>376</v>
      </c>
      <c r="L59" s="11" t="s">
        <v>377</v>
      </c>
    </row>
    <row r="60" spans="1:12" ht="15" customHeight="1" x14ac:dyDescent="0.25">
      <c r="A60" s="11" t="s">
        <v>296</v>
      </c>
      <c r="B60" s="11" t="s">
        <v>65</v>
      </c>
      <c r="C60" s="11" t="s">
        <v>375</v>
      </c>
      <c r="D60" s="11" t="s">
        <v>375</v>
      </c>
      <c r="E60" s="11">
        <v>1</v>
      </c>
      <c r="F60" s="11" t="s">
        <v>104</v>
      </c>
      <c r="G60" s="11" t="s">
        <v>298</v>
      </c>
      <c r="H60" s="11"/>
      <c r="I60" s="11"/>
      <c r="J60" s="11" t="s">
        <v>288</v>
      </c>
      <c r="K60" s="11" t="s">
        <v>376</v>
      </c>
      <c r="L60" s="11" t="s">
        <v>377</v>
      </c>
    </row>
    <row r="61" spans="1:12" ht="15" customHeight="1" x14ac:dyDescent="0.25">
      <c r="A61" s="11" t="s">
        <v>299</v>
      </c>
      <c r="B61" s="11" t="s">
        <v>65</v>
      </c>
      <c r="C61" s="11" t="s">
        <v>375</v>
      </c>
      <c r="D61" s="11" t="s">
        <v>375</v>
      </c>
      <c r="E61" s="11">
        <v>1</v>
      </c>
      <c r="F61" s="11" t="s">
        <v>104</v>
      </c>
      <c r="G61" s="11" t="s">
        <v>301</v>
      </c>
      <c r="H61" s="11"/>
      <c r="I61" s="11"/>
      <c r="J61" s="11" t="s">
        <v>288</v>
      </c>
      <c r="K61" s="11" t="s">
        <v>376</v>
      </c>
      <c r="L61" s="11" t="s">
        <v>377</v>
      </c>
    </row>
    <row r="62" spans="1:12" ht="15" customHeight="1" x14ac:dyDescent="0.25">
      <c r="A62" s="14" t="s">
        <v>299</v>
      </c>
      <c r="B62" s="14" t="s">
        <v>65</v>
      </c>
      <c r="C62" s="14" t="s">
        <v>74</v>
      </c>
      <c r="D62" s="14" t="s">
        <v>375</v>
      </c>
      <c r="E62" s="14">
        <v>2</v>
      </c>
      <c r="F62" s="14" t="s">
        <v>104</v>
      </c>
      <c r="G62" s="14" t="s">
        <v>379</v>
      </c>
      <c r="H62" s="14"/>
      <c r="I62" s="14"/>
      <c r="J62" s="14" t="s">
        <v>288</v>
      </c>
      <c r="K62" s="14" t="s">
        <v>376</v>
      </c>
      <c r="L62" s="14" t="s">
        <v>377</v>
      </c>
    </row>
    <row r="63" spans="1:12" ht="15" customHeight="1" x14ac:dyDescent="0.25">
      <c r="A63" s="14" t="s">
        <v>153</v>
      </c>
      <c r="B63" s="14" t="s">
        <v>65</v>
      </c>
      <c r="C63" s="14" t="s">
        <v>375</v>
      </c>
      <c r="D63" s="14" t="s">
        <v>380</v>
      </c>
      <c r="E63" s="14">
        <v>3</v>
      </c>
      <c r="F63" s="14" t="s">
        <v>104</v>
      </c>
      <c r="G63" s="14" t="s">
        <v>381</v>
      </c>
      <c r="H63" s="14"/>
      <c r="I63" s="14"/>
      <c r="J63" s="14" t="s">
        <v>132</v>
      </c>
      <c r="K63" s="14" t="s">
        <v>376</v>
      </c>
      <c r="L63" s="14" t="s">
        <v>377</v>
      </c>
    </row>
    <row r="64" spans="1:12" ht="23.25" customHeight="1" x14ac:dyDescent="0.25">
      <c r="A64" s="13" t="s">
        <v>302</v>
      </c>
      <c r="B64" s="13" t="s">
        <v>68</v>
      </c>
      <c r="C64" s="13" t="s">
        <v>375</v>
      </c>
      <c r="D64" s="13" t="s">
        <v>375</v>
      </c>
      <c r="E64" s="13">
        <v>1</v>
      </c>
      <c r="F64" s="13" t="s">
        <v>104</v>
      </c>
      <c r="G64" s="13" t="s">
        <v>206</v>
      </c>
      <c r="H64" s="13"/>
      <c r="I64" s="13"/>
      <c r="J64" s="13" t="s">
        <v>120</v>
      </c>
      <c r="K64" s="13" t="s">
        <v>376</v>
      </c>
      <c r="L64" s="13" t="s">
        <v>377</v>
      </c>
    </row>
    <row r="65" spans="1:12" ht="23.25" customHeight="1" x14ac:dyDescent="0.25">
      <c r="A65" s="13" t="s">
        <v>308</v>
      </c>
      <c r="B65" s="13" t="s">
        <v>68</v>
      </c>
      <c r="C65" s="13" t="s">
        <v>375</v>
      </c>
      <c r="D65" s="13" t="s">
        <v>375</v>
      </c>
      <c r="E65" s="13">
        <v>1</v>
      </c>
      <c r="F65" s="13" t="s">
        <v>104</v>
      </c>
      <c r="G65" s="13" t="s">
        <v>314</v>
      </c>
      <c r="H65" s="13"/>
      <c r="I65" s="13"/>
      <c r="J65" s="13" t="s">
        <v>132</v>
      </c>
      <c r="K65" s="13" t="s">
        <v>376</v>
      </c>
      <c r="L65" s="13" t="s">
        <v>377</v>
      </c>
    </row>
    <row r="66" spans="1:12" ht="23.25" customHeight="1" x14ac:dyDescent="0.25">
      <c r="A66" s="13" t="s">
        <v>315</v>
      </c>
      <c r="B66" s="13" t="s">
        <v>68</v>
      </c>
      <c r="C66" s="13" t="s">
        <v>375</v>
      </c>
      <c r="D66" s="13" t="s">
        <v>375</v>
      </c>
      <c r="E66" s="13">
        <v>1</v>
      </c>
      <c r="F66" s="13" t="s">
        <v>133</v>
      </c>
      <c r="G66" s="13"/>
      <c r="H66" s="13"/>
      <c r="I66" s="13"/>
      <c r="J66" s="13" t="s">
        <v>132</v>
      </c>
      <c r="K66" s="13" t="s">
        <v>376</v>
      </c>
      <c r="L66" s="13" t="s">
        <v>377</v>
      </c>
    </row>
    <row r="67" spans="1:12" ht="23.25" customHeight="1" x14ac:dyDescent="0.25">
      <c r="A67" s="13" t="s">
        <v>321</v>
      </c>
      <c r="B67" s="13" t="s">
        <v>68</v>
      </c>
      <c r="C67" s="13" t="s">
        <v>375</v>
      </c>
      <c r="D67" s="13" t="s">
        <v>375</v>
      </c>
      <c r="E67" s="13">
        <v>1</v>
      </c>
      <c r="F67" s="13" t="s">
        <v>133</v>
      </c>
      <c r="G67" s="13"/>
      <c r="H67" s="13"/>
      <c r="I67" s="13"/>
      <c r="J67" s="13" t="s">
        <v>132</v>
      </c>
      <c r="K67" s="13" t="s">
        <v>376</v>
      </c>
      <c r="L67" s="13" t="s">
        <v>377</v>
      </c>
    </row>
    <row r="68" spans="1:12" ht="23.25" customHeight="1" x14ac:dyDescent="0.25">
      <c r="A68" s="13" t="s">
        <v>324</v>
      </c>
      <c r="B68" s="13" t="s">
        <v>68</v>
      </c>
      <c r="C68" s="13" t="s">
        <v>375</v>
      </c>
      <c r="D68" s="13" t="s">
        <v>375</v>
      </c>
      <c r="E68" s="13">
        <v>1</v>
      </c>
      <c r="F68" s="13" t="s">
        <v>133</v>
      </c>
      <c r="G68" s="13"/>
      <c r="H68" s="13"/>
      <c r="I68" s="13"/>
      <c r="J68" s="13" t="s">
        <v>132</v>
      </c>
      <c r="K68" s="13" t="s">
        <v>376</v>
      </c>
      <c r="L68" s="13" t="s">
        <v>377</v>
      </c>
    </row>
    <row r="69" spans="1:12" ht="23.25" customHeight="1" x14ac:dyDescent="0.25">
      <c r="A69" s="13" t="s">
        <v>327</v>
      </c>
      <c r="B69" s="13" t="s">
        <v>68</v>
      </c>
      <c r="C69" s="13" t="s">
        <v>375</v>
      </c>
      <c r="D69" s="13" t="s">
        <v>375</v>
      </c>
      <c r="E69" s="13">
        <v>1</v>
      </c>
      <c r="F69" s="13" t="s">
        <v>104</v>
      </c>
      <c r="G69" s="13" t="s">
        <v>301</v>
      </c>
      <c r="H69" s="13"/>
      <c r="I69" s="13"/>
      <c r="J69" s="13" t="s">
        <v>288</v>
      </c>
      <c r="K69" s="13" t="s">
        <v>376</v>
      </c>
      <c r="L69" s="13" t="s">
        <v>377</v>
      </c>
    </row>
    <row r="70" spans="1:12" ht="23.25" customHeight="1" x14ac:dyDescent="0.25">
      <c r="A70" s="13" t="s">
        <v>331</v>
      </c>
      <c r="B70" s="13" t="s">
        <v>68</v>
      </c>
      <c r="C70" s="13" t="s">
        <v>375</v>
      </c>
      <c r="D70" s="13" t="s">
        <v>375</v>
      </c>
      <c r="E70" s="13">
        <v>1</v>
      </c>
      <c r="F70" s="13" t="s">
        <v>196</v>
      </c>
      <c r="G70" s="13" t="s">
        <v>382</v>
      </c>
      <c r="H70" s="13"/>
      <c r="I70" s="13"/>
      <c r="J70" s="13" t="s">
        <v>120</v>
      </c>
      <c r="K70" s="13" t="s">
        <v>376</v>
      </c>
      <c r="L70" s="13" t="s">
        <v>377</v>
      </c>
    </row>
    <row r="71" spans="1:12" ht="23.25" customHeight="1" x14ac:dyDescent="0.25">
      <c r="A71" s="13" t="s">
        <v>336</v>
      </c>
      <c r="B71" s="13" t="s">
        <v>68</v>
      </c>
      <c r="C71" s="13" t="s">
        <v>375</v>
      </c>
      <c r="D71" s="13" t="s">
        <v>375</v>
      </c>
      <c r="E71" s="13">
        <v>1</v>
      </c>
      <c r="F71" s="13" t="s">
        <v>196</v>
      </c>
      <c r="G71" s="13" t="s">
        <v>383</v>
      </c>
      <c r="H71" s="13"/>
      <c r="I71" s="13"/>
      <c r="J71" s="13" t="s">
        <v>120</v>
      </c>
      <c r="K71" s="13" t="s">
        <v>376</v>
      </c>
      <c r="L71" s="13" t="s">
        <v>377</v>
      </c>
    </row>
    <row r="72" spans="1:12" ht="23.25" customHeight="1" x14ac:dyDescent="0.25">
      <c r="A72" s="13" t="s">
        <v>339</v>
      </c>
      <c r="B72" s="13" t="s">
        <v>68</v>
      </c>
      <c r="C72" s="13" t="s">
        <v>375</v>
      </c>
      <c r="D72" s="13" t="s">
        <v>375</v>
      </c>
      <c r="E72" s="13">
        <v>1</v>
      </c>
      <c r="F72" s="13" t="s">
        <v>104</v>
      </c>
      <c r="G72" s="13" t="s">
        <v>105</v>
      </c>
      <c r="H72" s="13"/>
      <c r="I72" s="13"/>
      <c r="J72" s="13" t="s">
        <v>103</v>
      </c>
      <c r="K72" s="13" t="s">
        <v>376</v>
      </c>
      <c r="L72" s="13" t="s">
        <v>377</v>
      </c>
    </row>
    <row r="73" spans="1:12" ht="23.25" customHeight="1" x14ac:dyDescent="0.25">
      <c r="A73" s="13" t="s">
        <v>341</v>
      </c>
      <c r="B73" s="13" t="s">
        <v>68</v>
      </c>
      <c r="C73" s="13" t="s">
        <v>375</v>
      </c>
      <c r="D73" s="13" t="s">
        <v>375</v>
      </c>
      <c r="E73" s="13">
        <v>1</v>
      </c>
      <c r="F73" s="13" t="s">
        <v>343</v>
      </c>
      <c r="G73" s="13"/>
      <c r="H73" s="13"/>
      <c r="I73" s="13"/>
      <c r="J73" s="13" t="s">
        <v>120</v>
      </c>
      <c r="K73" s="13" t="s">
        <v>376</v>
      </c>
      <c r="L73" s="13" t="s">
        <v>377</v>
      </c>
    </row>
    <row r="74" spans="1:12" ht="23.25" customHeight="1" x14ac:dyDescent="0.25">
      <c r="A74" s="13" t="s">
        <v>345</v>
      </c>
      <c r="B74" s="13" t="s">
        <v>68</v>
      </c>
      <c r="C74" s="13" t="s">
        <v>375</v>
      </c>
      <c r="D74" s="13" t="s">
        <v>375</v>
      </c>
      <c r="E74" s="13">
        <v>1</v>
      </c>
      <c r="F74" s="13" t="s">
        <v>104</v>
      </c>
      <c r="G74" s="13" t="s">
        <v>348</v>
      </c>
      <c r="H74" s="13"/>
      <c r="I74" s="13"/>
      <c r="J74" s="13" t="s">
        <v>103</v>
      </c>
      <c r="K74" s="13" t="s">
        <v>376</v>
      </c>
      <c r="L74" s="13" t="s">
        <v>377</v>
      </c>
    </row>
    <row r="75" spans="1:12" ht="23.25" customHeight="1" x14ac:dyDescent="0.25">
      <c r="A75" s="13" t="s">
        <v>349</v>
      </c>
      <c r="B75" s="13" t="s">
        <v>68</v>
      </c>
      <c r="C75" s="13" t="s">
        <v>375</v>
      </c>
      <c r="D75" s="13" t="s">
        <v>375</v>
      </c>
      <c r="E75" s="13">
        <v>1</v>
      </c>
      <c r="F75" s="13" t="s">
        <v>104</v>
      </c>
      <c r="G75" s="13" t="s">
        <v>352</v>
      </c>
      <c r="H75" s="13"/>
      <c r="I75" s="13"/>
      <c r="J75" s="13" t="s">
        <v>351</v>
      </c>
      <c r="K75" s="13" t="s">
        <v>376</v>
      </c>
      <c r="L75" s="13" t="s">
        <v>377</v>
      </c>
    </row>
    <row r="76" spans="1:12" ht="23.25" customHeight="1" x14ac:dyDescent="0.25">
      <c r="A76" s="13" t="s">
        <v>353</v>
      </c>
      <c r="B76" s="13" t="s">
        <v>68</v>
      </c>
      <c r="C76" s="13" t="s">
        <v>375</v>
      </c>
      <c r="D76" s="13" t="s">
        <v>375</v>
      </c>
      <c r="E76" s="13">
        <v>1</v>
      </c>
      <c r="F76" s="13" t="s">
        <v>104</v>
      </c>
      <c r="G76" s="13" t="s">
        <v>356</v>
      </c>
      <c r="H76" s="13"/>
      <c r="I76" s="13"/>
      <c r="J76" s="13" t="s">
        <v>355</v>
      </c>
      <c r="K76" s="13" t="s">
        <v>376</v>
      </c>
      <c r="L76" s="13" t="s">
        <v>377</v>
      </c>
    </row>
    <row r="77" spans="1:12" ht="23.25" customHeight="1" x14ac:dyDescent="0.25">
      <c r="A77" s="13" t="s">
        <v>357</v>
      </c>
      <c r="B77" s="13" t="s">
        <v>68</v>
      </c>
      <c r="C77" s="13" t="s">
        <v>375</v>
      </c>
      <c r="D77" s="13" t="s">
        <v>375</v>
      </c>
      <c r="E77" s="13">
        <v>1</v>
      </c>
      <c r="F77" s="13" t="s">
        <v>343</v>
      </c>
      <c r="G77" s="13"/>
      <c r="H77" s="13"/>
      <c r="I77" s="13"/>
      <c r="J77" s="13" t="s">
        <v>132</v>
      </c>
      <c r="K77" s="13" t="s">
        <v>376</v>
      </c>
      <c r="L77" s="13" t="s">
        <v>377</v>
      </c>
    </row>
    <row r="78" spans="1:12" ht="23.25" customHeight="1" x14ac:dyDescent="0.25">
      <c r="A78" s="13" t="s">
        <v>361</v>
      </c>
      <c r="B78" s="13" t="s">
        <v>68</v>
      </c>
      <c r="C78" s="13" t="s">
        <v>375</v>
      </c>
      <c r="D78" s="13" t="s">
        <v>375</v>
      </c>
      <c r="E78" s="13">
        <v>1</v>
      </c>
      <c r="F78" s="13" t="s">
        <v>133</v>
      </c>
      <c r="G78" s="13"/>
      <c r="H78" s="13"/>
      <c r="I78" s="13"/>
      <c r="J78" s="13" t="s">
        <v>132</v>
      </c>
      <c r="K78" s="13" t="s">
        <v>376</v>
      </c>
      <c r="L78" s="13" t="s">
        <v>377</v>
      </c>
    </row>
    <row r="79" spans="1:12" ht="23.25" customHeight="1" x14ac:dyDescent="0.25">
      <c r="A79" s="13" t="s">
        <v>364</v>
      </c>
      <c r="B79" s="13" t="s">
        <v>68</v>
      </c>
      <c r="C79" s="13" t="s">
        <v>375</v>
      </c>
      <c r="D79" s="13" t="s">
        <v>375</v>
      </c>
      <c r="E79" s="13">
        <v>1</v>
      </c>
      <c r="F79" s="13" t="s">
        <v>133</v>
      </c>
      <c r="G79" s="13"/>
      <c r="H79" s="13"/>
      <c r="I79" s="13"/>
      <c r="J79" s="13" t="s">
        <v>132</v>
      </c>
      <c r="K79" s="13" t="s">
        <v>376</v>
      </c>
      <c r="L79" s="13" t="s">
        <v>377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9"/>
  <sheetViews>
    <sheetView showGridLines="0"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D9" sqref="D9"/>
    </sheetView>
  </sheetViews>
  <sheetFormatPr defaultColWidth="8.7109375" defaultRowHeight="15" x14ac:dyDescent="0.25"/>
  <cols>
    <col min="1" max="1" width="3" style="1" customWidth="1"/>
    <col min="2" max="2" width="24" style="1" customWidth="1"/>
    <col min="3" max="3" width="26" style="1" customWidth="1"/>
    <col min="4" max="4" width="16" style="1" customWidth="1"/>
    <col min="5" max="5" width="54" style="1" customWidth="1"/>
  </cols>
  <sheetData>
    <row r="1" spans="2:5" ht="15.75" customHeight="1" x14ac:dyDescent="0.25">
      <c r="B1" s="15" t="s">
        <v>384</v>
      </c>
    </row>
    <row r="3" spans="2:5" ht="23.25" customHeight="1" x14ac:dyDescent="0.25">
      <c r="B3" s="8" t="s">
        <v>385</v>
      </c>
      <c r="C3" s="8" t="s">
        <v>386</v>
      </c>
      <c r="D3" s="8" t="s">
        <v>387</v>
      </c>
      <c r="E3" s="8" t="s">
        <v>388</v>
      </c>
    </row>
    <row r="4" spans="2:5" ht="23.25" customHeight="1" x14ac:dyDescent="0.25">
      <c r="B4" s="11" t="s">
        <v>389</v>
      </c>
      <c r="C4" s="11" t="s">
        <v>299</v>
      </c>
      <c r="D4" s="16" t="s">
        <v>390</v>
      </c>
      <c r="E4" s="11" t="s">
        <v>391</v>
      </c>
    </row>
    <row r="5" spans="2:5" ht="23.25" customHeight="1" x14ac:dyDescent="0.25">
      <c r="B5" s="11" t="s">
        <v>392</v>
      </c>
      <c r="C5" s="11" t="s">
        <v>299</v>
      </c>
      <c r="D5" s="16" t="s">
        <v>393</v>
      </c>
      <c r="E5" s="11" t="s">
        <v>394</v>
      </c>
    </row>
    <row r="6" spans="2:5" ht="23.25" customHeight="1" x14ac:dyDescent="0.25">
      <c r="B6" s="11" t="s">
        <v>389</v>
      </c>
      <c r="C6" s="11" t="s">
        <v>153</v>
      </c>
      <c r="D6" s="16" t="s">
        <v>395</v>
      </c>
      <c r="E6" s="11" t="s">
        <v>396</v>
      </c>
    </row>
    <row r="7" spans="2:5" ht="15" customHeight="1" x14ac:dyDescent="0.25">
      <c r="B7" s="11" t="s">
        <v>397</v>
      </c>
      <c r="C7" s="11" t="s">
        <v>308</v>
      </c>
      <c r="D7" s="16" t="s">
        <v>398</v>
      </c>
      <c r="E7" s="11" t="s">
        <v>399</v>
      </c>
    </row>
    <row r="8" spans="2:5" ht="23.25" customHeight="1" x14ac:dyDescent="0.25">
      <c r="B8" s="11" t="s">
        <v>397</v>
      </c>
      <c r="C8" s="11" t="s">
        <v>321</v>
      </c>
      <c r="D8" s="16" t="s">
        <v>400</v>
      </c>
      <c r="E8" s="11" t="s">
        <v>401</v>
      </c>
    </row>
    <row r="9" spans="2:5" ht="23.25" customHeight="1" x14ac:dyDescent="0.25">
      <c r="B9" s="11" t="s">
        <v>397</v>
      </c>
      <c r="C9" s="11" t="s">
        <v>341</v>
      </c>
      <c r="D9" s="16" t="s">
        <v>402</v>
      </c>
      <c r="E9" s="11" t="s">
        <v>403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4"/>
  <sheetViews>
    <sheetView showGridLines="0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G7" sqref="G7"/>
    </sheetView>
  </sheetViews>
  <sheetFormatPr defaultColWidth="8.7109375" defaultRowHeight="15" x14ac:dyDescent="0.25"/>
  <cols>
    <col min="1" max="1" width="3" style="1" customWidth="1"/>
    <col min="2" max="2" width="26" style="1" customWidth="1"/>
    <col min="3" max="3" width="11" style="1" customWidth="1"/>
    <col min="4" max="4" width="16" style="1" customWidth="1"/>
    <col min="5" max="5" width="58" style="1" customWidth="1"/>
  </cols>
  <sheetData>
    <row r="1" spans="2:5" ht="15.75" customHeight="1" x14ac:dyDescent="0.25">
      <c r="B1" s="15" t="s">
        <v>404</v>
      </c>
    </row>
    <row r="3" spans="2:5" ht="15" customHeight="1" x14ac:dyDescent="0.25">
      <c r="B3" s="4" t="s">
        <v>405</v>
      </c>
      <c r="C3" s="5"/>
      <c r="D3" s="5"/>
      <c r="E3" s="5"/>
    </row>
    <row r="4" spans="2:5" ht="15" customHeight="1" x14ac:dyDescent="0.25">
      <c r="B4" s="8" t="s">
        <v>386</v>
      </c>
      <c r="C4" s="8" t="s">
        <v>406</v>
      </c>
      <c r="D4" s="8" t="s">
        <v>407</v>
      </c>
      <c r="E4" s="8" t="s">
        <v>408</v>
      </c>
    </row>
    <row r="5" spans="2:5" ht="15" customHeight="1" x14ac:dyDescent="0.25">
      <c r="B5" s="11" t="s">
        <v>409</v>
      </c>
      <c r="C5" s="11" t="s">
        <v>410</v>
      </c>
      <c r="D5" s="11" t="s">
        <v>411</v>
      </c>
      <c r="E5" s="11" t="s">
        <v>412</v>
      </c>
    </row>
    <row r="6" spans="2:5" ht="15" customHeight="1" x14ac:dyDescent="0.25">
      <c r="B6" s="11" t="s">
        <v>413</v>
      </c>
      <c r="C6" s="11" t="s">
        <v>410</v>
      </c>
      <c r="D6" s="11" t="s">
        <v>414</v>
      </c>
      <c r="E6" s="11" t="s">
        <v>415</v>
      </c>
    </row>
    <row r="7" spans="2:5" ht="15" customHeight="1" x14ac:dyDescent="0.25">
      <c r="B7" s="11" t="s">
        <v>416</v>
      </c>
      <c r="C7" s="11" t="s">
        <v>410</v>
      </c>
      <c r="D7" s="11" t="s">
        <v>367</v>
      </c>
      <c r="E7" s="11" t="s">
        <v>417</v>
      </c>
    </row>
    <row r="8" spans="2:5" ht="15" customHeight="1" x14ac:dyDescent="0.25">
      <c r="B8" s="11" t="s">
        <v>418</v>
      </c>
      <c r="C8" s="11" t="s">
        <v>410</v>
      </c>
      <c r="D8" s="11" t="s">
        <v>419</v>
      </c>
      <c r="E8" s="11" t="s">
        <v>420</v>
      </c>
    </row>
    <row r="9" spans="2:5" ht="15" customHeight="1" x14ac:dyDescent="0.25">
      <c r="B9" s="11" t="s">
        <v>421</v>
      </c>
      <c r="C9" s="11" t="s">
        <v>410</v>
      </c>
      <c r="D9" s="11" t="s">
        <v>422</v>
      </c>
      <c r="E9" s="11" t="s">
        <v>423</v>
      </c>
    </row>
    <row r="10" spans="2:5" ht="15" customHeight="1" x14ac:dyDescent="0.25">
      <c r="B10" s="11" t="s">
        <v>424</v>
      </c>
      <c r="C10" s="11" t="s">
        <v>425</v>
      </c>
      <c r="D10" s="11" t="s">
        <v>426</v>
      </c>
      <c r="E10" s="11" t="s">
        <v>427</v>
      </c>
    </row>
    <row r="11" spans="2:5" ht="15" customHeight="1" x14ac:dyDescent="0.25">
      <c r="B11" s="11" t="s">
        <v>428</v>
      </c>
      <c r="C11" s="11" t="s">
        <v>425</v>
      </c>
      <c r="D11" s="11" t="s">
        <v>429</v>
      </c>
      <c r="E11" s="11" t="s">
        <v>430</v>
      </c>
    </row>
    <row r="12" spans="2:5" ht="15" customHeight="1" x14ac:dyDescent="0.25">
      <c r="B12" s="11" t="s">
        <v>431</v>
      </c>
      <c r="C12" s="11" t="s">
        <v>425</v>
      </c>
      <c r="D12" s="11" t="s">
        <v>432</v>
      </c>
      <c r="E12" s="11" t="s">
        <v>433</v>
      </c>
    </row>
    <row r="13" spans="2:5" ht="15" customHeight="1" x14ac:dyDescent="0.25">
      <c r="B13" s="11" t="s">
        <v>434</v>
      </c>
      <c r="C13" s="11" t="s">
        <v>425</v>
      </c>
      <c r="D13" s="11" t="s">
        <v>435</v>
      </c>
      <c r="E13" s="11" t="s">
        <v>436</v>
      </c>
    </row>
    <row r="14" spans="2:5" ht="15" customHeight="1" x14ac:dyDescent="0.25">
      <c r="B14" s="11" t="s">
        <v>437</v>
      </c>
      <c r="C14" s="11" t="s">
        <v>425</v>
      </c>
      <c r="D14" s="11" t="s">
        <v>438</v>
      </c>
      <c r="E14" s="11" t="s">
        <v>439</v>
      </c>
    </row>
    <row r="16" spans="2:5" ht="15" customHeight="1" x14ac:dyDescent="0.25">
      <c r="B16" s="4" t="s">
        <v>440</v>
      </c>
      <c r="C16" s="5"/>
      <c r="D16" s="5"/>
      <c r="E16" s="5"/>
    </row>
    <row r="17" spans="2:5" ht="15" customHeight="1" x14ac:dyDescent="0.25">
      <c r="B17" s="8" t="s">
        <v>386</v>
      </c>
      <c r="C17" s="8" t="s">
        <v>406</v>
      </c>
      <c r="D17" s="8" t="s">
        <v>407</v>
      </c>
      <c r="E17" s="8" t="s">
        <v>408</v>
      </c>
    </row>
    <row r="18" spans="2:5" ht="15" customHeight="1" x14ac:dyDescent="0.25">
      <c r="B18" s="11" t="s">
        <v>409</v>
      </c>
      <c r="C18" s="11" t="s">
        <v>410</v>
      </c>
      <c r="D18" s="11" t="s">
        <v>411</v>
      </c>
      <c r="E18" s="11" t="s">
        <v>412</v>
      </c>
    </row>
    <row r="19" spans="2:5" ht="15" customHeight="1" x14ac:dyDescent="0.25">
      <c r="B19" s="11" t="s">
        <v>413</v>
      </c>
      <c r="C19" s="11" t="s">
        <v>410</v>
      </c>
      <c r="D19" s="11" t="s">
        <v>414</v>
      </c>
      <c r="E19" s="11" t="s">
        <v>415</v>
      </c>
    </row>
    <row r="20" spans="2:5" ht="15" customHeight="1" x14ac:dyDescent="0.25">
      <c r="B20" s="11" t="s">
        <v>416</v>
      </c>
      <c r="C20" s="11" t="s">
        <v>410</v>
      </c>
      <c r="D20" s="11" t="s">
        <v>367</v>
      </c>
      <c r="E20" s="11" t="s">
        <v>417</v>
      </c>
    </row>
    <row r="21" spans="2:5" ht="15" customHeight="1" x14ac:dyDescent="0.25">
      <c r="B21" s="11" t="s">
        <v>421</v>
      </c>
      <c r="C21" s="11" t="s">
        <v>410</v>
      </c>
      <c r="D21" s="11" t="s">
        <v>422</v>
      </c>
      <c r="E21" s="11" t="s">
        <v>423</v>
      </c>
    </row>
    <row r="22" spans="2:5" ht="15" customHeight="1" x14ac:dyDescent="0.25">
      <c r="B22" s="11" t="s">
        <v>441</v>
      </c>
      <c r="C22" s="11" t="s">
        <v>410</v>
      </c>
      <c r="D22" s="11" t="s">
        <v>414</v>
      </c>
      <c r="E22" s="11" t="s">
        <v>442</v>
      </c>
    </row>
    <row r="23" spans="2:5" ht="23.25" customHeight="1" x14ac:dyDescent="0.25">
      <c r="B23" s="11" t="s">
        <v>443</v>
      </c>
      <c r="C23" s="11" t="s">
        <v>425</v>
      </c>
      <c r="D23" s="11" t="s">
        <v>444</v>
      </c>
      <c r="E23" s="11" t="s">
        <v>445</v>
      </c>
    </row>
    <row r="24" spans="2:5" ht="15" customHeight="1" x14ac:dyDescent="0.25">
      <c r="B24" s="11" t="s">
        <v>437</v>
      </c>
      <c r="C24" s="11" t="s">
        <v>425</v>
      </c>
      <c r="D24" s="11" t="s">
        <v>438</v>
      </c>
      <c r="E24" s="11" t="s">
        <v>439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39"/>
  <sheetViews>
    <sheetView showGridLines="0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8.7109375" defaultRowHeight="15" x14ac:dyDescent="0.25"/>
  <cols>
    <col min="1" max="1" width="3" style="1" customWidth="1"/>
    <col min="2" max="2" width="30" style="1" customWidth="1"/>
    <col min="3" max="3" width="34" style="1" customWidth="1"/>
    <col min="4" max="4" width="50" style="1" customWidth="1"/>
  </cols>
  <sheetData>
    <row r="1" spans="2:4" ht="15.75" customHeight="1" x14ac:dyDescent="0.25">
      <c r="B1" s="15" t="s">
        <v>446</v>
      </c>
    </row>
    <row r="2" spans="2:4" ht="15" customHeight="1" x14ac:dyDescent="0.25">
      <c r="B2" s="17" t="s">
        <v>447</v>
      </c>
    </row>
    <row r="4" spans="2:4" ht="15" customHeight="1" x14ac:dyDescent="0.25">
      <c r="B4" s="4" t="s">
        <v>448</v>
      </c>
      <c r="C4" s="5"/>
      <c r="D4" s="5"/>
    </row>
    <row r="5" spans="2:4" ht="15" customHeight="1" x14ac:dyDescent="0.25">
      <c r="B5" s="8" t="s">
        <v>449</v>
      </c>
      <c r="C5" s="8" t="s">
        <v>450</v>
      </c>
      <c r="D5" s="8" t="s">
        <v>451</v>
      </c>
    </row>
    <row r="6" spans="2:4" ht="15" customHeight="1" x14ac:dyDescent="0.25">
      <c r="B6" s="11" t="s">
        <v>452</v>
      </c>
      <c r="C6" s="11" t="s">
        <v>453</v>
      </c>
      <c r="D6" s="11" t="s">
        <v>454</v>
      </c>
    </row>
    <row r="7" spans="2:4" ht="23.25" customHeight="1" x14ac:dyDescent="0.25">
      <c r="B7" s="11" t="s">
        <v>455</v>
      </c>
      <c r="C7" s="11" t="s">
        <v>456</v>
      </c>
      <c r="D7" s="11" t="s">
        <v>457</v>
      </c>
    </row>
    <row r="8" spans="2:4" ht="23.25" customHeight="1" x14ac:dyDescent="0.25">
      <c r="B8" s="11" t="s">
        <v>458</v>
      </c>
      <c r="C8" s="11" t="s">
        <v>459</v>
      </c>
      <c r="D8" s="11" t="s">
        <v>460</v>
      </c>
    </row>
    <row r="9" spans="2:4" ht="23.25" customHeight="1" x14ac:dyDescent="0.25">
      <c r="B9" s="11" t="s">
        <v>461</v>
      </c>
      <c r="C9" s="11" t="s">
        <v>462</v>
      </c>
      <c r="D9" s="11" t="s">
        <v>463</v>
      </c>
    </row>
    <row r="10" spans="2:4" ht="15" customHeight="1" x14ac:dyDescent="0.25">
      <c r="B10" s="11" t="s">
        <v>464</v>
      </c>
      <c r="C10" s="11" t="s">
        <v>87</v>
      </c>
      <c r="D10" s="11" t="s">
        <v>465</v>
      </c>
    </row>
    <row r="11" spans="2:4" ht="15" customHeight="1" x14ac:dyDescent="0.25">
      <c r="B11" s="11" t="s">
        <v>466</v>
      </c>
      <c r="C11" s="11" t="s">
        <v>467</v>
      </c>
      <c r="D11" s="11" t="s">
        <v>468</v>
      </c>
    </row>
    <row r="12" spans="2:4" ht="15" customHeight="1" x14ac:dyDescent="0.25">
      <c r="B12" s="11" t="s">
        <v>469</v>
      </c>
      <c r="C12" s="11" t="s">
        <v>470</v>
      </c>
      <c r="D12" s="11" t="s">
        <v>471</v>
      </c>
    </row>
    <row r="13" spans="2:4" ht="15" customHeight="1" x14ac:dyDescent="0.25">
      <c r="B13" s="11" t="s">
        <v>472</v>
      </c>
      <c r="C13" s="11" t="s">
        <v>473</v>
      </c>
      <c r="D13" s="11" t="s">
        <v>474</v>
      </c>
    </row>
    <row r="14" spans="2:4" ht="15" customHeight="1" x14ac:dyDescent="0.25">
      <c r="B14" s="11" t="s">
        <v>475</v>
      </c>
      <c r="C14" s="11" t="s">
        <v>88</v>
      </c>
      <c r="D14" s="11" t="s">
        <v>476</v>
      </c>
    </row>
    <row r="15" spans="2:4" ht="15" customHeight="1" x14ac:dyDescent="0.25">
      <c r="B15" s="11" t="s">
        <v>477</v>
      </c>
      <c r="C15" s="11" t="s">
        <v>478</v>
      </c>
      <c r="D15" s="11" t="s">
        <v>479</v>
      </c>
    </row>
    <row r="16" spans="2:4" ht="15" customHeight="1" x14ac:dyDescent="0.25">
      <c r="B16" s="11" t="s">
        <v>480</v>
      </c>
      <c r="C16" s="11" t="s">
        <v>481</v>
      </c>
      <c r="D16" s="11" t="s">
        <v>482</v>
      </c>
    </row>
    <row r="17" spans="2:4" ht="15" customHeight="1" x14ac:dyDescent="0.25">
      <c r="B17" s="11" t="s">
        <v>483</v>
      </c>
      <c r="C17" s="11" t="s">
        <v>484</v>
      </c>
      <c r="D17" s="11" t="s">
        <v>485</v>
      </c>
    </row>
    <row r="18" spans="2:4" ht="15" customHeight="1" x14ac:dyDescent="0.25">
      <c r="B18" s="11" t="s">
        <v>486</v>
      </c>
      <c r="C18" s="11" t="s">
        <v>487</v>
      </c>
      <c r="D18" s="11" t="s">
        <v>488</v>
      </c>
    </row>
    <row r="19" spans="2:4" ht="15" customHeight="1" x14ac:dyDescent="0.25">
      <c r="B19" s="11" t="s">
        <v>489</v>
      </c>
      <c r="C19" s="11" t="s">
        <v>490</v>
      </c>
      <c r="D19" s="11" t="s">
        <v>491</v>
      </c>
    </row>
    <row r="20" spans="2:4" ht="15" customHeight="1" x14ac:dyDescent="0.25">
      <c r="B20" s="11" t="s">
        <v>492</v>
      </c>
      <c r="C20" s="11" t="s">
        <v>493</v>
      </c>
      <c r="D20" s="11" t="s">
        <v>494</v>
      </c>
    </row>
    <row r="21" spans="2:4" ht="15" customHeight="1" x14ac:dyDescent="0.25">
      <c r="B21" s="11" t="s">
        <v>495</v>
      </c>
      <c r="C21" s="11" t="s">
        <v>496</v>
      </c>
      <c r="D21" s="11" t="s">
        <v>497</v>
      </c>
    </row>
    <row r="23" spans="2:4" ht="15" customHeight="1" x14ac:dyDescent="0.25">
      <c r="B23" s="4" t="s">
        <v>498</v>
      </c>
      <c r="C23" s="5"/>
      <c r="D23" s="5"/>
    </row>
    <row r="24" spans="2:4" ht="15" customHeight="1" x14ac:dyDescent="0.25">
      <c r="B24" s="8" t="s">
        <v>499</v>
      </c>
      <c r="C24" s="8" t="s">
        <v>500</v>
      </c>
      <c r="D24" s="8" t="s">
        <v>501</v>
      </c>
    </row>
    <row r="25" spans="2:4" ht="23.25" customHeight="1" x14ac:dyDescent="0.25">
      <c r="B25" s="11" t="s">
        <v>502</v>
      </c>
      <c r="C25" s="11" t="s">
        <v>503</v>
      </c>
      <c r="D25" s="11" t="s">
        <v>504</v>
      </c>
    </row>
    <row r="26" spans="2:4" ht="23.25" customHeight="1" x14ac:dyDescent="0.25">
      <c r="B26" s="11" t="s">
        <v>505</v>
      </c>
      <c r="C26" s="11" t="s">
        <v>506</v>
      </c>
      <c r="D26" s="11" t="s">
        <v>507</v>
      </c>
    </row>
    <row r="27" spans="2:4" ht="23.25" customHeight="1" x14ac:dyDescent="0.25">
      <c r="B27" s="11" t="s">
        <v>508</v>
      </c>
      <c r="C27" s="11" t="s">
        <v>509</v>
      </c>
      <c r="D27" s="11" t="s">
        <v>510</v>
      </c>
    </row>
    <row r="28" spans="2:4" ht="23.25" customHeight="1" x14ac:dyDescent="0.25">
      <c r="B28" s="11" t="s">
        <v>511</v>
      </c>
      <c r="C28" s="11" t="s">
        <v>512</v>
      </c>
      <c r="D28" s="11" t="s">
        <v>513</v>
      </c>
    </row>
    <row r="29" spans="2:4" ht="23.25" customHeight="1" x14ac:dyDescent="0.25">
      <c r="B29" s="11" t="s">
        <v>514</v>
      </c>
      <c r="C29" s="11" t="s">
        <v>515</v>
      </c>
      <c r="D29" s="11" t="s">
        <v>516</v>
      </c>
    </row>
    <row r="31" spans="2:4" ht="15" customHeight="1" x14ac:dyDescent="0.25">
      <c r="B31" s="4" t="s">
        <v>517</v>
      </c>
      <c r="C31" s="5"/>
      <c r="D31" s="5"/>
    </row>
    <row r="32" spans="2:4" ht="15" customHeight="1" x14ac:dyDescent="0.25">
      <c r="B32" s="8" t="s">
        <v>518</v>
      </c>
      <c r="C32" s="8" t="s">
        <v>519</v>
      </c>
      <c r="D32" s="8" t="s">
        <v>520</v>
      </c>
    </row>
    <row r="33" spans="2:4" ht="23.25" customHeight="1" x14ac:dyDescent="0.25">
      <c r="B33" s="11" t="s">
        <v>521</v>
      </c>
      <c r="C33" s="11" t="s">
        <v>522</v>
      </c>
      <c r="D33" s="11" t="s">
        <v>523</v>
      </c>
    </row>
    <row r="34" spans="2:4" ht="15" customHeight="1" x14ac:dyDescent="0.25">
      <c r="B34" s="11" t="s">
        <v>524</v>
      </c>
      <c r="C34" s="11" t="s">
        <v>525</v>
      </c>
      <c r="D34" s="11" t="s">
        <v>526</v>
      </c>
    </row>
    <row r="35" spans="2:4" ht="23.25" customHeight="1" x14ac:dyDescent="0.25">
      <c r="B35" s="11" t="s">
        <v>527</v>
      </c>
      <c r="C35" s="11" t="s">
        <v>528</v>
      </c>
      <c r="D35" s="11" t="s">
        <v>529</v>
      </c>
    </row>
    <row r="36" spans="2:4" ht="15" customHeight="1" x14ac:dyDescent="0.25">
      <c r="B36" s="11" t="s">
        <v>530</v>
      </c>
      <c r="C36" s="11" t="s">
        <v>531</v>
      </c>
      <c r="D36" s="11" t="s">
        <v>532</v>
      </c>
    </row>
    <row r="37" spans="2:4" ht="15" customHeight="1" x14ac:dyDescent="0.25">
      <c r="B37" s="11" t="s">
        <v>533</v>
      </c>
      <c r="C37" s="11" t="s">
        <v>534</v>
      </c>
      <c r="D37" s="11" t="s">
        <v>535</v>
      </c>
    </row>
    <row r="38" spans="2:4" ht="23.25" customHeight="1" x14ac:dyDescent="0.25">
      <c r="B38" s="11" t="s">
        <v>536</v>
      </c>
      <c r="C38" s="11" t="s">
        <v>537</v>
      </c>
      <c r="D38" s="11" t="s">
        <v>538</v>
      </c>
    </row>
    <row r="39" spans="2:4" ht="23.25" customHeight="1" x14ac:dyDescent="0.25">
      <c r="B39" s="11" t="s">
        <v>539</v>
      </c>
      <c r="C39" s="11" t="s">
        <v>540</v>
      </c>
      <c r="D39" s="11" t="s">
        <v>541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 Me - Design</vt:lpstr>
      <vt:lpstr>ZPP_UOP</vt:lpstr>
      <vt:lpstr>ZPP_RES</vt:lpstr>
      <vt:lpstr>ZPP_PARAM</vt:lpstr>
      <vt:lpstr>ZPP_PVAL</vt:lpstr>
      <vt:lpstr>Scope Examples</vt:lpstr>
      <vt:lpstr>Retrieval Spec</vt:lpstr>
      <vt:lpstr>Format 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Jan-Karl Maritz</cp:lastModifiedBy>
  <cp:revision>0</cp:revision>
  <dcterms:created xsi:type="dcterms:W3CDTF">2026-07-02T12:41:01Z</dcterms:created>
  <dcterms:modified xsi:type="dcterms:W3CDTF">2026-07-02T13:06:55Z</dcterms:modified>
  <dc:language>en-US</dc:language>
</cp:coreProperties>
</file>