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style1.xml" ContentType="application/vnd.ms-office.chartstyle+xml"/>
  <Override PartName="/xl/charts/colors1.xml" ContentType="application/vnd.ms-office.chartcolorsty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Paulina Jaramillo\Downloads\"/>
    </mc:Choice>
  </mc:AlternateContent>
  <xr:revisionPtr revIDLastSave="0" documentId="8_{774BFF2A-EA8D-42C6-9E14-5510BCA84CD5}" xr6:coauthVersionLast="47" xr6:coauthVersionMax="47" xr10:uidLastSave="{00000000-0000-0000-0000-000000000000}"/>
  <bookViews>
    <workbookView xWindow="-120" yWindow="-120" windowWidth="29040" windowHeight="15720" xr2:uid="{00000000-000D-0000-FFFF-FFFF00000000}"/>
  </bookViews>
  <sheets>
    <sheet name="Dashboard" sheetId="1" r:id="rId1"/>
    <sheet name="Virus Inactivation" sheetId="3" r:id="rId2"/>
    <sheet name="Virus Filtration" sheetId="4" r:id="rId3"/>
    <sheet name="Chromatography 1" sheetId="5" r:id="rId4"/>
    <sheet name="Chromatography 2" sheetId="6" r:id="rId5"/>
    <sheet name="Conjugation 1" sheetId="7" r:id="rId6"/>
    <sheet name="Conjugation 2" sheetId="8" r:id="rId7"/>
    <sheet name="Bulk Formulation" sheetId="2"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80" i="8" l="1"/>
  <c r="E79" i="8"/>
  <c r="E78" i="8"/>
  <c r="E77" i="8"/>
  <c r="E76" i="8"/>
  <c r="E75" i="8"/>
  <c r="E74" i="8"/>
  <c r="E73" i="8"/>
  <c r="E72" i="8"/>
  <c r="E71" i="8"/>
  <c r="E70" i="8"/>
  <c r="E69" i="8"/>
  <c r="E68" i="8"/>
  <c r="E67" i="8"/>
  <c r="E66" i="8"/>
  <c r="E65" i="8"/>
  <c r="E64" i="8"/>
  <c r="E63" i="8"/>
  <c r="E62" i="8"/>
  <c r="E61" i="8"/>
  <c r="E60" i="8"/>
  <c r="E59" i="8"/>
  <c r="E58" i="8"/>
  <c r="E57" i="8"/>
  <c r="E56" i="8"/>
  <c r="E55" i="8"/>
  <c r="E54" i="8"/>
  <c r="E53" i="8"/>
  <c r="E52" i="8"/>
  <c r="E51" i="8"/>
  <c r="E50" i="8"/>
  <c r="E49" i="8"/>
  <c r="E48" i="8"/>
  <c r="E47" i="8"/>
  <c r="E46" i="8"/>
  <c r="E45" i="8"/>
  <c r="E44" i="8"/>
  <c r="E43" i="8"/>
  <c r="E42" i="8"/>
  <c r="E41" i="8"/>
  <c r="E40" i="8"/>
  <c r="E39" i="8"/>
  <c r="E38" i="8"/>
  <c r="E37" i="8"/>
  <c r="E36" i="8"/>
  <c r="E35" i="8"/>
  <c r="E34" i="8"/>
  <c r="E33" i="8"/>
  <c r="E32" i="8"/>
  <c r="E31" i="8"/>
  <c r="E30" i="8"/>
  <c r="E29" i="8"/>
  <c r="E28" i="8"/>
  <c r="E27" i="8"/>
  <c r="E26" i="8"/>
  <c r="E25" i="8"/>
  <c r="E24" i="8"/>
  <c r="E23" i="8"/>
  <c r="E22" i="8"/>
  <c r="E21" i="8"/>
  <c r="E20" i="8"/>
  <c r="E19" i="8"/>
  <c r="E18" i="8"/>
  <c r="E17" i="8"/>
  <c r="E16" i="8"/>
  <c r="G15" i="8"/>
  <c r="O4" i="8" s="1"/>
  <c r="C11" i="1" s="1"/>
  <c r="E15" i="8"/>
  <c r="K14" i="8"/>
  <c r="E14" i="8"/>
  <c r="K13" i="8"/>
  <c r="E13" i="8"/>
  <c r="K12" i="8"/>
  <c r="E12" i="8"/>
  <c r="K11" i="8"/>
  <c r="E11" i="8"/>
  <c r="K10" i="8"/>
  <c r="E10" i="8"/>
  <c r="K9" i="8"/>
  <c r="E9" i="8"/>
  <c r="K8" i="8"/>
  <c r="E8" i="8"/>
  <c r="K7" i="8"/>
  <c r="E7" i="8"/>
  <c r="O3" i="8"/>
  <c r="E393" i="7"/>
  <c r="P3" i="7" s="1"/>
  <c r="A393" i="7"/>
  <c r="O3" i="7" s="1"/>
  <c r="G30" i="7"/>
  <c r="K29" i="7"/>
  <c r="K28" i="7"/>
  <c r="K27" i="7"/>
  <c r="K26" i="7"/>
  <c r="K25" i="7"/>
  <c r="K24" i="7"/>
  <c r="K23" i="7"/>
  <c r="K22" i="7"/>
  <c r="K21" i="7"/>
  <c r="K20" i="7"/>
  <c r="K19" i="7"/>
  <c r="K18" i="7"/>
  <c r="K17" i="7"/>
  <c r="K16" i="7"/>
  <c r="K15" i="7"/>
  <c r="K14" i="7"/>
  <c r="K13" i="7"/>
  <c r="K12" i="7"/>
  <c r="K11" i="7"/>
  <c r="K10" i="7"/>
  <c r="K9" i="7"/>
  <c r="K8" i="7"/>
  <c r="K7" i="7"/>
  <c r="O4" i="7"/>
  <c r="E223" i="6"/>
  <c r="A223" i="6"/>
  <c r="K36" i="6"/>
  <c r="P4" i="6" s="1"/>
  <c r="D9" i="1" s="1"/>
  <c r="G36" i="6"/>
  <c r="O4" i="6" s="1"/>
  <c r="C9" i="1" s="1"/>
  <c r="P3" i="6"/>
  <c r="O3" i="6"/>
  <c r="A209" i="5"/>
  <c r="O3" i="5" s="1"/>
  <c r="E208" i="5"/>
  <c r="E207" i="5"/>
  <c r="E206" i="5"/>
  <c r="E205" i="5"/>
  <c r="E204" i="5"/>
  <c r="E203" i="5"/>
  <c r="E202" i="5"/>
  <c r="E201" i="5"/>
  <c r="E200" i="5"/>
  <c r="E199" i="5"/>
  <c r="E198" i="5"/>
  <c r="E197" i="5"/>
  <c r="E196" i="5"/>
  <c r="E195" i="5"/>
  <c r="E194" i="5"/>
  <c r="E193" i="5"/>
  <c r="E192" i="5"/>
  <c r="E191" i="5"/>
  <c r="E190" i="5"/>
  <c r="E189" i="5"/>
  <c r="E188" i="5"/>
  <c r="E187" i="5"/>
  <c r="E186" i="5"/>
  <c r="E185" i="5"/>
  <c r="E184" i="5"/>
  <c r="E183" i="5"/>
  <c r="E182" i="5"/>
  <c r="E181" i="5"/>
  <c r="E180" i="5"/>
  <c r="E179" i="5"/>
  <c r="E178" i="5"/>
  <c r="E177" i="5"/>
  <c r="E176" i="5"/>
  <c r="E175" i="5"/>
  <c r="E174" i="5"/>
  <c r="E173" i="5"/>
  <c r="E172" i="5"/>
  <c r="E171" i="5"/>
  <c r="E170" i="5"/>
  <c r="E169" i="5"/>
  <c r="E168" i="5"/>
  <c r="E167" i="5"/>
  <c r="E166" i="5"/>
  <c r="E165" i="5"/>
  <c r="E164" i="5"/>
  <c r="E163" i="5"/>
  <c r="E162" i="5"/>
  <c r="E161" i="5"/>
  <c r="E160" i="5"/>
  <c r="E159" i="5"/>
  <c r="E158" i="5"/>
  <c r="E157" i="5"/>
  <c r="E156" i="5"/>
  <c r="E155" i="5"/>
  <c r="E154" i="5"/>
  <c r="E153" i="5"/>
  <c r="E152" i="5"/>
  <c r="E151" i="5"/>
  <c r="E150" i="5"/>
  <c r="E149" i="5"/>
  <c r="E148" i="5"/>
  <c r="E147" i="5"/>
  <c r="E146" i="5"/>
  <c r="E145" i="5"/>
  <c r="E144" i="5"/>
  <c r="E143" i="5"/>
  <c r="E142" i="5"/>
  <c r="E141" i="5"/>
  <c r="E140" i="5"/>
  <c r="E139" i="5"/>
  <c r="E138" i="5"/>
  <c r="E137" i="5"/>
  <c r="E136" i="5"/>
  <c r="E135" i="5"/>
  <c r="E134" i="5"/>
  <c r="E133" i="5"/>
  <c r="E132" i="5"/>
  <c r="E131" i="5"/>
  <c r="E130" i="5"/>
  <c r="E129" i="5"/>
  <c r="E128" i="5"/>
  <c r="E127" i="5"/>
  <c r="E126" i="5"/>
  <c r="E125" i="5"/>
  <c r="E124" i="5"/>
  <c r="E123" i="5"/>
  <c r="E122" i="5"/>
  <c r="E121" i="5"/>
  <c r="E120" i="5"/>
  <c r="E119" i="5"/>
  <c r="E118" i="5"/>
  <c r="E117" i="5"/>
  <c r="E116" i="5"/>
  <c r="E115" i="5"/>
  <c r="E114" i="5"/>
  <c r="E113" i="5"/>
  <c r="E112" i="5"/>
  <c r="E111" i="5"/>
  <c r="E110" i="5"/>
  <c r="E109" i="5"/>
  <c r="E108" i="5"/>
  <c r="E107" i="5"/>
  <c r="E106" i="5"/>
  <c r="E105" i="5"/>
  <c r="E104" i="5"/>
  <c r="E103" i="5"/>
  <c r="E102" i="5"/>
  <c r="E101" i="5"/>
  <c r="E100" i="5"/>
  <c r="E99" i="5"/>
  <c r="E98" i="5"/>
  <c r="E97" i="5"/>
  <c r="E96" i="5"/>
  <c r="E95" i="5"/>
  <c r="E94" i="5"/>
  <c r="E93" i="5"/>
  <c r="E92" i="5"/>
  <c r="E91" i="5"/>
  <c r="E90" i="5"/>
  <c r="E89" i="5"/>
  <c r="E88" i="5"/>
  <c r="E87" i="5"/>
  <c r="E86" i="5"/>
  <c r="E85" i="5"/>
  <c r="E84" i="5"/>
  <c r="E83" i="5"/>
  <c r="E82" i="5"/>
  <c r="E81" i="5"/>
  <c r="E80" i="5"/>
  <c r="E79" i="5"/>
  <c r="E78" i="5"/>
  <c r="E77" i="5"/>
  <c r="E76" i="5"/>
  <c r="E75" i="5"/>
  <c r="E74" i="5"/>
  <c r="E73" i="5"/>
  <c r="E72" i="5"/>
  <c r="E71" i="5"/>
  <c r="E70" i="5"/>
  <c r="E69" i="5"/>
  <c r="E68" i="5"/>
  <c r="E67" i="5"/>
  <c r="E66" i="5"/>
  <c r="E65" i="5"/>
  <c r="E64" i="5"/>
  <c r="E63" i="5"/>
  <c r="E62" i="5"/>
  <c r="E61" i="5"/>
  <c r="E60" i="5"/>
  <c r="E59" i="5"/>
  <c r="E58" i="5"/>
  <c r="E57" i="5"/>
  <c r="E56" i="5"/>
  <c r="E55" i="5"/>
  <c r="E54" i="5"/>
  <c r="E53" i="5"/>
  <c r="E52" i="5"/>
  <c r="E51" i="5"/>
  <c r="E50" i="5"/>
  <c r="E49" i="5"/>
  <c r="E48" i="5"/>
  <c r="E47" i="5"/>
  <c r="E46" i="5"/>
  <c r="E45" i="5"/>
  <c r="E44" i="5"/>
  <c r="E43" i="5"/>
  <c r="E42" i="5"/>
  <c r="E41" i="5"/>
  <c r="E40" i="5"/>
  <c r="E39" i="5"/>
  <c r="E38" i="5"/>
  <c r="E37" i="5"/>
  <c r="G36" i="5"/>
  <c r="E36" i="5"/>
  <c r="K35" i="5"/>
  <c r="E35" i="5"/>
  <c r="K34" i="5"/>
  <c r="E34" i="5"/>
  <c r="K33" i="5"/>
  <c r="E33" i="5"/>
  <c r="K32" i="5"/>
  <c r="E32" i="5"/>
  <c r="K31" i="5"/>
  <c r="E31" i="5"/>
  <c r="K30" i="5"/>
  <c r="E30" i="5"/>
  <c r="K29" i="5"/>
  <c r="E29" i="5"/>
  <c r="K28" i="5"/>
  <c r="E28" i="5"/>
  <c r="K27" i="5"/>
  <c r="E27" i="5"/>
  <c r="K26" i="5"/>
  <c r="E26" i="5"/>
  <c r="K25" i="5"/>
  <c r="E25" i="5"/>
  <c r="K24" i="5"/>
  <c r="E24" i="5"/>
  <c r="K23" i="5"/>
  <c r="E23" i="5"/>
  <c r="K22" i="5"/>
  <c r="E22" i="5"/>
  <c r="K21" i="5"/>
  <c r="E21" i="5"/>
  <c r="K20" i="5"/>
  <c r="E20" i="5"/>
  <c r="K19" i="5"/>
  <c r="E19" i="5"/>
  <c r="K18" i="5"/>
  <c r="E18" i="5"/>
  <c r="K17" i="5"/>
  <c r="E17" i="5"/>
  <c r="K16" i="5"/>
  <c r="E16" i="5"/>
  <c r="K15" i="5"/>
  <c r="E15" i="5"/>
  <c r="K14" i="5"/>
  <c r="E14" i="5"/>
  <c r="K13" i="5"/>
  <c r="E13" i="5"/>
  <c r="K12" i="5"/>
  <c r="E12" i="5"/>
  <c r="K11" i="5"/>
  <c r="E11" i="5"/>
  <c r="K10" i="5"/>
  <c r="E10" i="5"/>
  <c r="K9" i="5"/>
  <c r="E9" i="5"/>
  <c r="K8" i="5"/>
  <c r="E8" i="5"/>
  <c r="K7" i="5"/>
  <c r="E7" i="5"/>
  <c r="O4" i="5"/>
  <c r="C8" i="1" s="1"/>
  <c r="A254" i="4"/>
  <c r="O3" i="4" s="1"/>
  <c r="E253" i="4"/>
  <c r="E252" i="4"/>
  <c r="E251" i="4"/>
  <c r="E250" i="4"/>
  <c r="E249" i="4"/>
  <c r="E248" i="4"/>
  <c r="E247" i="4"/>
  <c r="E246" i="4"/>
  <c r="E245" i="4"/>
  <c r="E244" i="4"/>
  <c r="E243" i="4"/>
  <c r="E242" i="4"/>
  <c r="E241" i="4"/>
  <c r="E240" i="4"/>
  <c r="E239" i="4"/>
  <c r="E238" i="4"/>
  <c r="E237" i="4"/>
  <c r="E236" i="4"/>
  <c r="E235" i="4"/>
  <c r="E234" i="4"/>
  <c r="E233" i="4"/>
  <c r="E232" i="4"/>
  <c r="E231" i="4"/>
  <c r="E230" i="4"/>
  <c r="E229" i="4"/>
  <c r="E228" i="4"/>
  <c r="E227" i="4"/>
  <c r="E226" i="4"/>
  <c r="E225" i="4"/>
  <c r="E224" i="4"/>
  <c r="E223" i="4"/>
  <c r="E222" i="4"/>
  <c r="E221" i="4"/>
  <c r="E220" i="4"/>
  <c r="E219" i="4"/>
  <c r="E218" i="4"/>
  <c r="E217" i="4"/>
  <c r="E216" i="4"/>
  <c r="E215" i="4"/>
  <c r="E214" i="4"/>
  <c r="E213" i="4"/>
  <c r="E212" i="4"/>
  <c r="E211" i="4"/>
  <c r="E210" i="4"/>
  <c r="E209" i="4"/>
  <c r="E208" i="4"/>
  <c r="E207" i="4"/>
  <c r="E206" i="4"/>
  <c r="E205" i="4"/>
  <c r="E204" i="4"/>
  <c r="E203" i="4"/>
  <c r="E202" i="4"/>
  <c r="E201" i="4"/>
  <c r="E200" i="4"/>
  <c r="E199" i="4"/>
  <c r="E198" i="4"/>
  <c r="E197" i="4"/>
  <c r="E196" i="4"/>
  <c r="E195" i="4"/>
  <c r="E194" i="4"/>
  <c r="E193" i="4"/>
  <c r="E192" i="4"/>
  <c r="E191" i="4"/>
  <c r="E190" i="4"/>
  <c r="E189" i="4"/>
  <c r="E188" i="4"/>
  <c r="E187" i="4"/>
  <c r="E186" i="4"/>
  <c r="E185" i="4"/>
  <c r="E184" i="4"/>
  <c r="E183" i="4"/>
  <c r="E182" i="4"/>
  <c r="E181" i="4"/>
  <c r="E180" i="4"/>
  <c r="E179" i="4"/>
  <c r="E178" i="4"/>
  <c r="E177" i="4"/>
  <c r="E176" i="4"/>
  <c r="E175" i="4"/>
  <c r="E174" i="4"/>
  <c r="E173" i="4"/>
  <c r="E172" i="4"/>
  <c r="E171" i="4"/>
  <c r="E170" i="4"/>
  <c r="E169" i="4"/>
  <c r="E168" i="4"/>
  <c r="E167" i="4"/>
  <c r="E166" i="4"/>
  <c r="E165" i="4"/>
  <c r="E164" i="4"/>
  <c r="E163" i="4"/>
  <c r="E162" i="4"/>
  <c r="E161" i="4"/>
  <c r="E160" i="4"/>
  <c r="E159" i="4"/>
  <c r="E158" i="4"/>
  <c r="E157" i="4"/>
  <c r="E156" i="4"/>
  <c r="E155" i="4"/>
  <c r="E154" i="4"/>
  <c r="E153" i="4"/>
  <c r="E152" i="4"/>
  <c r="E151" i="4"/>
  <c r="E150" i="4"/>
  <c r="E149" i="4"/>
  <c r="E148" i="4"/>
  <c r="E147" i="4"/>
  <c r="E146" i="4"/>
  <c r="E145" i="4"/>
  <c r="E144" i="4"/>
  <c r="E143" i="4"/>
  <c r="E142" i="4"/>
  <c r="E141" i="4"/>
  <c r="E140" i="4"/>
  <c r="E139" i="4"/>
  <c r="E138" i="4"/>
  <c r="E137" i="4"/>
  <c r="E136" i="4"/>
  <c r="E135" i="4"/>
  <c r="E134" i="4"/>
  <c r="E133" i="4"/>
  <c r="E132" i="4"/>
  <c r="E131" i="4"/>
  <c r="E130" i="4"/>
  <c r="E129" i="4"/>
  <c r="E128" i="4"/>
  <c r="E127" i="4"/>
  <c r="E126" i="4"/>
  <c r="E125" i="4"/>
  <c r="E124" i="4"/>
  <c r="E123" i="4"/>
  <c r="E122" i="4"/>
  <c r="E121" i="4"/>
  <c r="E120" i="4"/>
  <c r="E119" i="4"/>
  <c r="E118" i="4"/>
  <c r="E117" i="4"/>
  <c r="E116" i="4"/>
  <c r="E115" i="4"/>
  <c r="E114" i="4"/>
  <c r="E113" i="4"/>
  <c r="E112" i="4"/>
  <c r="E111" i="4"/>
  <c r="E110" i="4"/>
  <c r="E109" i="4"/>
  <c r="E108" i="4"/>
  <c r="E107" i="4"/>
  <c r="E106" i="4"/>
  <c r="E105" i="4"/>
  <c r="E104" i="4"/>
  <c r="E103" i="4"/>
  <c r="E102" i="4"/>
  <c r="E101" i="4"/>
  <c r="E100" i="4"/>
  <c r="E99" i="4"/>
  <c r="E98" i="4"/>
  <c r="E97" i="4"/>
  <c r="E96" i="4"/>
  <c r="E95" i="4"/>
  <c r="E94" i="4"/>
  <c r="E93" i="4"/>
  <c r="E92" i="4"/>
  <c r="E91" i="4"/>
  <c r="E90" i="4"/>
  <c r="E89" i="4"/>
  <c r="E88" i="4"/>
  <c r="E87" i="4"/>
  <c r="E86" i="4"/>
  <c r="E85" i="4"/>
  <c r="E84" i="4"/>
  <c r="E83" i="4"/>
  <c r="E82" i="4"/>
  <c r="E81" i="4"/>
  <c r="E80" i="4"/>
  <c r="E79" i="4"/>
  <c r="E78" i="4"/>
  <c r="E77" i="4"/>
  <c r="E76" i="4"/>
  <c r="E75" i="4"/>
  <c r="E74" i="4"/>
  <c r="E73" i="4"/>
  <c r="E72" i="4"/>
  <c r="E71" i="4"/>
  <c r="E70" i="4"/>
  <c r="E69" i="4"/>
  <c r="E68" i="4"/>
  <c r="E67" i="4"/>
  <c r="E66" i="4"/>
  <c r="E65" i="4"/>
  <c r="E64" i="4"/>
  <c r="E63" i="4"/>
  <c r="E62" i="4"/>
  <c r="E61" i="4"/>
  <c r="E60" i="4"/>
  <c r="E59" i="4"/>
  <c r="E58" i="4"/>
  <c r="E57" i="4"/>
  <c r="E56" i="4"/>
  <c r="E55" i="4"/>
  <c r="E54" i="4"/>
  <c r="E53" i="4"/>
  <c r="E52" i="4"/>
  <c r="E51" i="4"/>
  <c r="E50" i="4"/>
  <c r="E49" i="4"/>
  <c r="E48" i="4"/>
  <c r="E47" i="4"/>
  <c r="E46" i="4"/>
  <c r="E45" i="4"/>
  <c r="E44" i="4"/>
  <c r="E43" i="4"/>
  <c r="E42" i="4"/>
  <c r="E41" i="4"/>
  <c r="E40" i="4"/>
  <c r="E39" i="4"/>
  <c r="E38" i="4"/>
  <c r="E37" i="4"/>
  <c r="E36" i="4"/>
  <c r="E35" i="4"/>
  <c r="E34" i="4"/>
  <c r="E33" i="4"/>
  <c r="E32" i="4"/>
  <c r="E31" i="4"/>
  <c r="E30" i="4"/>
  <c r="E29" i="4"/>
  <c r="G28" i="4"/>
  <c r="O4" i="4" s="1"/>
  <c r="C7" i="1" s="1"/>
  <c r="E28" i="4"/>
  <c r="K27" i="4"/>
  <c r="E27" i="4"/>
  <c r="K26" i="4"/>
  <c r="E26" i="4"/>
  <c r="K25" i="4"/>
  <c r="E25" i="4"/>
  <c r="K24" i="4"/>
  <c r="E24" i="4"/>
  <c r="K23" i="4"/>
  <c r="E23" i="4"/>
  <c r="K22" i="4"/>
  <c r="E22" i="4"/>
  <c r="K21" i="4"/>
  <c r="E21" i="4"/>
  <c r="K20" i="4"/>
  <c r="E20" i="4"/>
  <c r="K19" i="4"/>
  <c r="E19" i="4"/>
  <c r="K18" i="4"/>
  <c r="E18" i="4"/>
  <c r="K17" i="4"/>
  <c r="E17" i="4"/>
  <c r="K16" i="4"/>
  <c r="E16" i="4"/>
  <c r="K15" i="4"/>
  <c r="E15" i="4"/>
  <c r="K14" i="4"/>
  <c r="E14" i="4"/>
  <c r="K13" i="4"/>
  <c r="E13" i="4"/>
  <c r="K12" i="4"/>
  <c r="E12" i="4"/>
  <c r="K11" i="4"/>
  <c r="E11" i="4"/>
  <c r="K10" i="4"/>
  <c r="E10" i="4"/>
  <c r="K9" i="4"/>
  <c r="E9" i="4"/>
  <c r="K8" i="4"/>
  <c r="E8" i="4"/>
  <c r="K7" i="4"/>
  <c r="E7" i="4"/>
  <c r="A87" i="3"/>
  <c r="O3" i="3" s="1"/>
  <c r="E86" i="3"/>
  <c r="E85" i="3"/>
  <c r="E84" i="3"/>
  <c r="E83" i="3"/>
  <c r="E82" i="3"/>
  <c r="E81" i="3"/>
  <c r="E80" i="3"/>
  <c r="E79" i="3"/>
  <c r="E78" i="3"/>
  <c r="E77" i="3"/>
  <c r="E76" i="3"/>
  <c r="E75" i="3"/>
  <c r="E74" i="3"/>
  <c r="E73" i="3"/>
  <c r="E72" i="3"/>
  <c r="E71" i="3"/>
  <c r="E70" i="3"/>
  <c r="E69" i="3"/>
  <c r="E68" i="3"/>
  <c r="E67" i="3"/>
  <c r="E66" i="3"/>
  <c r="E65" i="3"/>
  <c r="E64" i="3"/>
  <c r="E63" i="3"/>
  <c r="E62" i="3"/>
  <c r="E61" i="3"/>
  <c r="E60" i="3"/>
  <c r="E59" i="3"/>
  <c r="E58" i="3"/>
  <c r="E57" i="3"/>
  <c r="E56" i="3"/>
  <c r="E55" i="3"/>
  <c r="E54" i="3"/>
  <c r="E53" i="3"/>
  <c r="E52" i="3"/>
  <c r="E51" i="3"/>
  <c r="E50" i="3"/>
  <c r="E49" i="3"/>
  <c r="E48" i="3"/>
  <c r="E47" i="3"/>
  <c r="E46" i="3"/>
  <c r="E45" i="3"/>
  <c r="E44" i="3"/>
  <c r="E43" i="3"/>
  <c r="E42" i="3"/>
  <c r="E41" i="3"/>
  <c r="E40" i="3"/>
  <c r="E39" i="3"/>
  <c r="E38" i="3"/>
  <c r="E37" i="3"/>
  <c r="E36" i="3"/>
  <c r="E35" i="3"/>
  <c r="E34" i="3"/>
  <c r="E33" i="3"/>
  <c r="E32" i="3"/>
  <c r="E31" i="3"/>
  <c r="E30" i="3"/>
  <c r="E29" i="3"/>
  <c r="E28" i="3"/>
  <c r="E27" i="3"/>
  <c r="E26" i="3"/>
  <c r="E25" i="3"/>
  <c r="E24" i="3"/>
  <c r="E23" i="3"/>
  <c r="E22" i="3"/>
  <c r="E21" i="3"/>
  <c r="E20" i="3"/>
  <c r="E19" i="3"/>
  <c r="G18" i="3"/>
  <c r="E18" i="3"/>
  <c r="K17" i="3"/>
  <c r="E17" i="3"/>
  <c r="K16" i="3"/>
  <c r="E16" i="3"/>
  <c r="K15" i="3"/>
  <c r="E15" i="3"/>
  <c r="K14" i="3"/>
  <c r="E14" i="3"/>
  <c r="K13" i="3"/>
  <c r="E13" i="3"/>
  <c r="K12" i="3"/>
  <c r="E12" i="3"/>
  <c r="K11" i="3"/>
  <c r="E11" i="3"/>
  <c r="K10" i="3"/>
  <c r="E10" i="3"/>
  <c r="K9" i="3"/>
  <c r="E9" i="3"/>
  <c r="K8" i="3"/>
  <c r="E8" i="3"/>
  <c r="K7" i="3"/>
  <c r="E7" i="3"/>
  <c r="O4" i="3"/>
  <c r="C6" i="1" s="1"/>
  <c r="A165" i="2"/>
  <c r="E164" i="2"/>
  <c r="E163" i="2"/>
  <c r="E162" i="2"/>
  <c r="E161" i="2"/>
  <c r="E160" i="2"/>
  <c r="E159" i="2"/>
  <c r="E158" i="2"/>
  <c r="E157" i="2"/>
  <c r="E156" i="2"/>
  <c r="E155" i="2"/>
  <c r="E154" i="2"/>
  <c r="E153" i="2"/>
  <c r="E152" i="2"/>
  <c r="E151" i="2"/>
  <c r="E150" i="2"/>
  <c r="E149" i="2"/>
  <c r="E148" i="2"/>
  <c r="E147" i="2"/>
  <c r="E146" i="2"/>
  <c r="E145" i="2"/>
  <c r="E144" i="2"/>
  <c r="E143" i="2"/>
  <c r="E142" i="2"/>
  <c r="E141" i="2"/>
  <c r="E140" i="2"/>
  <c r="E139" i="2"/>
  <c r="E138" i="2"/>
  <c r="E137" i="2"/>
  <c r="E136" i="2"/>
  <c r="E135" i="2"/>
  <c r="E134" i="2"/>
  <c r="E133" i="2"/>
  <c r="E132" i="2"/>
  <c r="E131" i="2"/>
  <c r="E130" i="2"/>
  <c r="E129" i="2"/>
  <c r="E128" i="2"/>
  <c r="E127" i="2"/>
  <c r="E126" i="2"/>
  <c r="E125" i="2"/>
  <c r="E124" i="2"/>
  <c r="E123" i="2"/>
  <c r="E122" i="2"/>
  <c r="E121" i="2"/>
  <c r="E120" i="2"/>
  <c r="E119" i="2"/>
  <c r="E118" i="2"/>
  <c r="E117" i="2"/>
  <c r="E116" i="2"/>
  <c r="E115" i="2"/>
  <c r="E114" i="2"/>
  <c r="E113" i="2"/>
  <c r="E112" i="2"/>
  <c r="E111" i="2"/>
  <c r="E110" i="2"/>
  <c r="E109" i="2"/>
  <c r="E108" i="2"/>
  <c r="E107" i="2"/>
  <c r="E106" i="2"/>
  <c r="E105" i="2"/>
  <c r="E104" i="2"/>
  <c r="E103" i="2"/>
  <c r="E102" i="2"/>
  <c r="E101" i="2"/>
  <c r="E100" i="2"/>
  <c r="E99" i="2"/>
  <c r="E98" i="2"/>
  <c r="E97" i="2"/>
  <c r="E96" i="2"/>
  <c r="E95" i="2"/>
  <c r="E94" i="2"/>
  <c r="E93" i="2"/>
  <c r="E92" i="2"/>
  <c r="E91" i="2"/>
  <c r="E90" i="2"/>
  <c r="E89" i="2"/>
  <c r="E88" i="2"/>
  <c r="E87" i="2"/>
  <c r="E86" i="2"/>
  <c r="E85" i="2"/>
  <c r="E84" i="2"/>
  <c r="E83" i="2"/>
  <c r="E82" i="2"/>
  <c r="E81" i="2"/>
  <c r="E80" i="2"/>
  <c r="E79" i="2"/>
  <c r="E78" i="2"/>
  <c r="E77" i="2"/>
  <c r="E76" i="2"/>
  <c r="E75" i="2"/>
  <c r="E74" i="2"/>
  <c r="E73" i="2"/>
  <c r="E72" i="2"/>
  <c r="E71" i="2"/>
  <c r="E70" i="2"/>
  <c r="E69" i="2"/>
  <c r="E68" i="2"/>
  <c r="E67" i="2"/>
  <c r="E66" i="2"/>
  <c r="E65" i="2"/>
  <c r="E64" i="2"/>
  <c r="E63" i="2"/>
  <c r="E62" i="2"/>
  <c r="E61" i="2"/>
  <c r="E60" i="2"/>
  <c r="E59" i="2"/>
  <c r="E58" i="2"/>
  <c r="E57" i="2"/>
  <c r="E56" i="2"/>
  <c r="E55" i="2"/>
  <c r="E54" i="2"/>
  <c r="E53" i="2"/>
  <c r="E52" i="2"/>
  <c r="E51" i="2"/>
  <c r="E50" i="2"/>
  <c r="E49" i="2"/>
  <c r="E48" i="2"/>
  <c r="E47" i="2"/>
  <c r="E46" i="2"/>
  <c r="E45" i="2"/>
  <c r="E44" i="2"/>
  <c r="E43" i="2"/>
  <c r="E42" i="2"/>
  <c r="E41" i="2"/>
  <c r="E40" i="2"/>
  <c r="E39" i="2"/>
  <c r="E38" i="2"/>
  <c r="E37" i="2"/>
  <c r="E36" i="2"/>
  <c r="E35" i="2"/>
  <c r="E34" i="2"/>
  <c r="E33" i="2"/>
  <c r="E32" i="2"/>
  <c r="E31" i="2"/>
  <c r="E30" i="2"/>
  <c r="E29" i="2"/>
  <c r="E28" i="2"/>
  <c r="E27" i="2"/>
  <c r="E26" i="2"/>
  <c r="E25" i="2"/>
  <c r="G24" i="2"/>
  <c r="O4" i="2" s="1"/>
  <c r="E24" i="2"/>
  <c r="K23" i="2"/>
  <c r="E23" i="2"/>
  <c r="K22" i="2"/>
  <c r="E22" i="2"/>
  <c r="K21" i="2"/>
  <c r="E21" i="2"/>
  <c r="K20" i="2"/>
  <c r="E20" i="2"/>
  <c r="K19" i="2"/>
  <c r="E19" i="2"/>
  <c r="K18" i="2"/>
  <c r="E18" i="2"/>
  <c r="K17" i="2"/>
  <c r="E17" i="2"/>
  <c r="K16" i="2"/>
  <c r="E16" i="2"/>
  <c r="K15" i="2"/>
  <c r="E15" i="2"/>
  <c r="K14" i="2"/>
  <c r="E14" i="2"/>
  <c r="K13" i="2"/>
  <c r="E13" i="2"/>
  <c r="K12" i="2"/>
  <c r="E12" i="2"/>
  <c r="K11" i="2"/>
  <c r="E11" i="2"/>
  <c r="K10" i="2"/>
  <c r="E10" i="2"/>
  <c r="K9" i="2"/>
  <c r="E9" i="2"/>
  <c r="K8" i="2"/>
  <c r="E8" i="2"/>
  <c r="K7" i="2"/>
  <c r="E7" i="2"/>
  <c r="O3" i="2"/>
  <c r="C10" i="1"/>
  <c r="K15" i="8" l="1"/>
  <c r="P4" i="8" s="1"/>
  <c r="D11" i="1" s="1"/>
  <c r="K36" i="5"/>
  <c r="P4" i="5" s="1"/>
  <c r="D8" i="1" s="1"/>
  <c r="E209" i="5"/>
  <c r="P3" i="5" s="1"/>
  <c r="E80" i="8"/>
  <c r="P3" i="8" s="1"/>
  <c r="K30" i="7"/>
  <c r="P4" i="7" s="1"/>
  <c r="D10" i="1" s="1"/>
  <c r="E254" i="4"/>
  <c r="P3" i="4" s="1"/>
  <c r="K28" i="4"/>
  <c r="P4" i="4" s="1"/>
  <c r="D7" i="1" s="1"/>
  <c r="K18" i="3"/>
  <c r="P4" i="3" s="1"/>
  <c r="D6" i="1" s="1"/>
  <c r="D13" i="1" s="1"/>
  <c r="E87" i="3"/>
  <c r="P3" i="3" s="1"/>
  <c r="K24" i="2"/>
  <c r="P4" i="2" s="1"/>
  <c r="E165" i="2"/>
  <c r="P3" i="2" s="1"/>
  <c r="C13" i="1"/>
</calcChain>
</file>

<file path=xl/sharedStrings.xml><?xml version="1.0" encoding="utf-8"?>
<sst xmlns="http://schemas.openxmlformats.org/spreadsheetml/2006/main" count="4741" uniqueCount="2371">
  <si>
    <t>Batch Analysis Dashboard</t>
  </si>
  <si>
    <t>Description</t>
  </si>
  <si>
    <t>Steps</t>
  </si>
  <si>
    <t>Effort Hours (hrs)</t>
  </si>
  <si>
    <t>Initial Analysis</t>
  </si>
  <si>
    <t>Bulk Formulation</t>
  </si>
  <si>
    <t>1 template</t>
  </si>
  <si>
    <t>Virus Inactivation</t>
  </si>
  <si>
    <t>2 templates</t>
  </si>
  <si>
    <t>Virus Filtration</t>
  </si>
  <si>
    <t>Chromatography 1</t>
  </si>
  <si>
    <t>3 templates</t>
  </si>
  <si>
    <t>Chromatography 2</t>
  </si>
  <si>
    <t>Conjugation 1</t>
  </si>
  <si>
    <t>Conjugation 2</t>
  </si>
  <si>
    <t>Bulk Formulation Batch Record Analysis</t>
  </si>
  <si>
    <t>Batch ID: PN - 8011768</t>
  </si>
  <si>
    <t>Analysis Type</t>
  </si>
  <si>
    <t>Total Steps</t>
  </si>
  <si>
    <t>Detailed Analysis</t>
  </si>
  <si>
    <t>Streamlined Analysis</t>
  </si>
  <si>
    <t>Step Num</t>
  </si>
  <si>
    <t>Title</t>
  </si>
  <si>
    <t>Brief Description</t>
  </si>
  <si>
    <t>Complexity</t>
  </si>
  <si>
    <t>Record Processing Room Number</t>
  </si>
  <si>
    <t>Record the room number(s) where processing will occur. Simple room ID entry.</t>
  </si>
  <si>
    <t>LOW</t>
  </si>
  <si>
    <t>Record Pre-Formulated Intermediate (PFI) Information</t>
  </si>
  <si>
    <t>Record PFI information from upstream ALXN2230 C&amp;D (MABR-0027057): DLIMS Project Number, DLIMS Sample Number, PFI Concentration (g/L), Tare Weight (kg=L), PFI Net Weight (kg), PFI Volume (L). SAP Consumption recording.</t>
  </si>
  <si>
    <t>MEDIUM</t>
  </si>
  <si>
    <t>Verify PFI Warm-Up Time</t>
  </si>
  <si>
    <t>If PFI product was warmed up from cold storage, ensure the time does not exceed the limit in Attachment 4: Hold Times. Conditional check.</t>
  </si>
  <si>
    <t>Record Formulation Vessel Information</t>
  </si>
  <si>
    <t>Complex multi-field form: Bottle/Stir Bar Autoclave Cycle No. and Exp. Date, Bag PN/Batch/Exp., Mixer Drive/Top Base/Magnetic Clamp checkboxes, Tank ID/CIP Batch ID/CIP Exp./Pressure Test Date/SIP Batch ID, Scale/Balance ID and Cal. Due Date, Tare Weight. Dual signature.</t>
  </si>
  <si>
    <t>HIGH</t>
  </si>
  <si>
    <t>Calculate EAB Weight Range (Max/Target/Min)</t>
  </si>
  <si>
    <t>Triple calculation: PFI Net Weight × Ratio = EAB Weight. Max (0.1200), Target (0.1237), Min (0.1274 kg/kg). EAB PN: 8012044.</t>
  </si>
  <si>
    <t>Determine Starting Material Vessel Status</t>
  </si>
  <si>
    <t>Conditional check: if starting material is NOT in a mixing bag/tank/glass bottle, go to next step. If already in acceptable vessel, N/A Steps 8.2-8.7.</t>
  </si>
  <si>
    <t>Measure Osmolality and Record Concentration</t>
  </si>
  <si>
    <t>Measure osmolality per SOP-0080509. Record concentration (g/L), osmolality (mOsm/kg FIO), DLIMS Project ID. Decision tree: &gt;126.0→Section 10; 114.0-126.0→N/A Section 10; &lt;114.0→Contact supervisor.</t>
  </si>
  <si>
    <t>Select Formulation Vessel Type</t>
  </si>
  <si>
    <t>Selection of vessel type (glass bottle, mixing bag, or tank) with conditional paths for different vessel types.</t>
  </si>
  <si>
    <t>Begin Bulk Filtration and Record Start Time</t>
  </si>
  <si>
    <t>Begin bulk filtration per SOP-0080259. Record Filtration Start Time and Starting Pressure. Fill first 6L Celsius FFT vessel per Step 13.9.</t>
  </si>
  <si>
    <t>Label Formulation Vessel</t>
  </si>
  <si>
    <t>Label the vessel with ALXN2230, Formulation Mixing, PN 8011768, batch number, initials and date per SOP-0107056.</t>
  </si>
  <si>
    <t>DS-1 Vessel Fill</t>
  </si>
  <si>
    <t>DS-1 Fill checklist: open pinch clamp to FIRST 6L Celsius FFT bag (DS-1), place on scale and zero, open vessel bag, start pump at low speed, fill to Target Net Weight (Step 13.5), stop pump, close clamp. Record fill weight.</t>
  </si>
  <si>
    <t>Obtain Tare Weight of Mixing Vessel</t>
  </si>
  <si>
    <t>Obtain tare weight of mixing vessel. If using glass bottle, obtain before stir bar insertion.</t>
  </si>
  <si>
    <t>Attach Logbook Pages for Storage Transfer</t>
  </si>
  <si>
    <t>Attach logbook pages for transfer to intermediate storage location (-55°C to -80°C) and final storage location (-15°C to -30°C). Product must be held at -55°C to -80°C between 48-168 hours before transfer to -15°C to -30°C.</t>
  </si>
  <si>
    <t>ATT-1</t>
  </si>
  <si>
    <t>Attachment 1: AZ Sampling Record</t>
  </si>
  <si>
    <t>Multi-page sampling record covering all sample designations (8011768-10, -20, -30, -40, -40-ALXN) with DLIMS Project/Sample Numbers, sample volumes, test codes (SOLO_A280, BIOBURDEN_IP_GPF1, ENDOTOXIN_IP_GPF1), storage conditions, tube types. Includes GREENFORM/WHITEFORM/Lot Manager/CoA template references and STAT sample identification.</t>
  </si>
  <si>
    <t>Obtain and Record Transfer Tubing Information</t>
  </si>
  <si>
    <t>If applicable, obtain tubing for PFI transfer. Record Part No./Batch No./Exp. Date/Autoclave Cycle No./Autoclave Exp. Date. Note: gamma-irradiated tubing not requiring autoclaving.</t>
  </si>
  <si>
    <t>ATT-4</t>
  </si>
  <si>
    <t>Attachment 4: Hold Times</t>
  </si>
  <si>
    <t>Multi-hold tracking form: up to 3 hold periods, each with Location, Temperature (RT or 2-8°C), PFI Storage Start/End times, Hold Time calculations. Total RT Hold Time (&gt;168 hrs → contact supervisor), Total 2-8°C Hold Time, Total Combined (&gt;336 hrs → contact supervisor).</t>
  </si>
  <si>
    <t>Transfer PFI to Mixing Vessel</t>
  </si>
  <si>
    <t>Connect transfer line from starting material vessel outlet to mixing vessel inlet. Transfer PFI. Remove transfer line.</t>
  </si>
  <si>
    <t>ATT-5</t>
  </si>
  <si>
    <t>Attachment 5: Filter Integrity Test Worksheet</t>
  </si>
  <si>
    <t>Multi-page filter integrity test documentation: product filter info (Part No./Batch/Exp./Serial/Autoclave), integrity test results (Tester ID, Test Name, up to 3 test attempts with Pass/Fail), supervisor/QA contact for failures per SOP-0107233. Additional pages for backup filters. Printout attachment pages.</t>
  </si>
  <si>
    <t>Record Gross Weight of Formulation Vessel</t>
  </si>
  <si>
    <t>Obtain gross weight of Formulation Vessel. Record gross weight and Scale/Balance ID and Calibration Due Date.</t>
  </si>
  <si>
    <t>ATT-6</t>
  </si>
  <si>
    <t>Attachment 6: Yield Calculations for Formulated Drug Substance</t>
  </si>
  <si>
    <t>Two-page yield calculation worksheet: Step Yield and MPR Yield calculations. Cross-references multiple process steps for weight/volume inputs.</t>
  </si>
  <si>
    <t>Calculate Net Weight of PFI</t>
  </si>
  <si>
    <t>Calculate: Gross Weight (Step 9.1) - Tare Weight (Step 7.3 or 8.5) = Net Weight of PFI (kg).</t>
  </si>
  <si>
    <t>ATT-7</t>
  </si>
  <si>
    <t>Attachment 7: Product Recirculation Worksheet</t>
  </si>
  <si>
    <t>Worksheet for product recirculation if needed during bulk filtration. Records mixing start time, end time, and duration calculations.</t>
  </si>
  <si>
    <t>Calculate Volume of PFI</t>
  </si>
  <si>
    <t>Calculate: Net Weight (Step 9.2) ÷ PFI Density (1.0409 kg/L) = Volume of PFI (L).</t>
  </si>
  <si>
    <t>ATT-13</t>
  </si>
  <si>
    <t>Attachment 13: Celsius FFT Vessel Tare Weights</t>
  </si>
  <si>
    <t>Recording form for Celsius FFT vessel tare weights. Weight should not include the 2×30 mL Sample FFT bags.</t>
  </si>
  <si>
    <t>ATT-14</t>
  </si>
  <si>
    <t>Attachment 14: Formulated Drug Substance Vessel Calculations – Celsius FFT Vessels</t>
  </si>
  <si>
    <t>Complex multi-vessel calculation worksheet: tare weight, gross weight after filling, net weight, volume for each DS vessel (DS-1, DS-2, etc.). Cross-references density (1.052 kg/L).</t>
  </si>
  <si>
    <t>Select EAB Addition Method</t>
  </si>
  <si>
    <t>Conditional: BY VOLUME → next step, N/A Step 9.7. BY WEIGHT → N/A Steps 9.5-9.10, go to Step 9.11.</t>
  </si>
  <si>
    <t>ATT-15</t>
  </si>
  <si>
    <t>Attachment 15: Sample Fill for -40 and -40-ALXN Samples</t>
  </si>
  <si>
    <t>Three-page sample fill recording form. Weight from DS density conversion factor 1.052 g/mL. Records individual sample bag weights for all -40 and -40-ALXN samples.</t>
  </si>
  <si>
    <t>Calculate EAB Volume Range (Max/Target/Min)</t>
  </si>
  <si>
    <t>Calculate EAB volumes: Weight (Step 9.4) ÷ EAB Density (1.16 kg/L) = Volume. Three calculations for max/target/min.</t>
  </si>
  <si>
    <t>ATT-16</t>
  </si>
  <si>
    <t>Attachment 16: Label Control and Reconciliation</t>
  </si>
  <si>
    <t>Three-section form. Section 1: operator generates labels (Campaign, Batch, PN, Date of Manufacture, Storage Condition, total labels). Section 2: operators verify labels match BPR. Section 3: QA verification and destruction of remaining labels.</t>
  </si>
  <si>
    <t>Obtain Materials for EAB Addition by Volume</t>
  </si>
  <si>
    <t>Obtain graduated cylinder or pipette(s) and tubing. Record Sterile Pipette, Graduated Cylinder, and Tubing info (PN/Batch/Exp/Autoclave).</t>
  </si>
  <si>
    <t>ATT-17</t>
  </si>
  <si>
    <t>Attachment 17: Process Area Checklist</t>
  </si>
  <si>
    <t>Pre-processing activities checklist for process area clearance and verification per SOP-0107057.</t>
  </si>
  <si>
    <t>Measure Target Volume of EAB</t>
  </si>
  <si>
    <t>Measure target volume from Step 9.6 using sterile pipette or graduated cylinder. Record Measured Volume of EAB (L).</t>
  </si>
  <si>
    <t>Set Up Peristaltic Pump for EAB Transfer</t>
  </si>
  <si>
    <t>If using graduated cylinder and pump: thread tubing through pump per SOP-0080839, prime tubing, connect to mixing vessel.</t>
  </si>
  <si>
    <t>Add Measured Volume of EAB to Mixing Vessel</t>
  </si>
  <si>
    <t>Add measured volume of EAB to PFI in the Mixing Vessel. Record EAB Addition Start Time.</t>
  </si>
  <si>
    <t>Obtain Tubing for EAB Addition by Weight</t>
  </si>
  <si>
    <t>Obtain tubing for weight-based addition. Record Part No./Batch No./Exp. Date/Autoclave Cycle No./Exp. Date.</t>
  </si>
  <si>
    <t>Connect and Prime EAB Tubing</t>
  </si>
  <si>
    <t>Connect tubing to EAB vessel outlet, thread through peristaltic pump, prime tubing. Connect primed tubing to Formulation Mixing Vessel inlet.</t>
  </si>
  <si>
    <t>Record Peristaltic Pump ID</t>
  </si>
  <si>
    <t>Record peristaltic pump ID used for addition.</t>
  </si>
  <si>
    <t>Obtain Gross Weight Prior to EAB Addition (by Weight)</t>
  </si>
  <si>
    <t>Obtain gross weight of mixing vessel with attached tubing prior to EAB addition. Record Scale/Balance ID and Cal. Due Date.</t>
  </si>
  <si>
    <t>Calculate Target Gross Weight After EAB Addition (Max/Target/Min)</t>
  </si>
  <si>
    <t>Triple calculation: Gross Weight (Step 9.14) + Weight of EAB (Step 9.4) = Target Gross Weight after transfer. Max/Target/Min ranges.</t>
  </si>
  <si>
    <t>Pump EAB into Formulation Mixing Vessel (by Weight)</t>
  </si>
  <si>
    <t>Pump buffer (8012044) directly into Formulation Mixing Vessel (8011768). Record EAB Addition Start Time.</t>
  </si>
  <si>
    <t>Record Gross Weight After EAB Addition</t>
  </si>
  <si>
    <t>Record gross weight after EAB addition. Ensure vessel in same configuration as prior measurement. Record Scale/Balance ID and Cal. Due Date.</t>
  </si>
  <si>
    <t>Calculate Net Weight of EAB Added</t>
  </si>
  <si>
    <t>Calculate: Gross Weight after (Step 9.17) - Gross Weight prior (Step 9.14) = Net Weight of EAB Added (kg). SAP Consumption.</t>
  </si>
  <si>
    <t>Verify EAB Weight Within Range</t>
  </si>
  <si>
    <t>Verify EAB added within range from Step 9.4. If out of range, contact supervisor.</t>
  </si>
  <si>
    <t>Mix Product for ≥30 Minutes</t>
  </si>
  <si>
    <t>Mix by agitation ≥30 min. Record Mixer ID, Agitation Setting (RPM), Start Time, End Time, Duration (≥30 min verification).</t>
  </si>
  <si>
    <t>Record Non-Routine Sample Volume</t>
  </si>
  <si>
    <t>Record volume of non-routine samples. If none, enter 0.</t>
  </si>
  <si>
    <t>Collect Post-EAB Sample (8011768-10)</t>
  </si>
  <si>
    <t>Per SOP-0107097, remove sample volume per Attachment 1: AZ Sampling Record. Record sample date and time.</t>
  </si>
  <si>
    <t>Aliquot Samples (8011768-10)</t>
  </si>
  <si>
    <t>Aliquot samples per Attachment 1. If applicable, aliquot non-routine samples per Attachment 3.</t>
  </si>
  <si>
    <t>Label and Submit Samples to DLIMS</t>
  </si>
  <si>
    <t>Label per SOP-0107056. Submit per SOP-0080295.</t>
  </si>
  <si>
    <t>Record Gross Weight After Sampling</t>
  </si>
  <si>
    <t>Obtain gross weight of Formulated Bulk after sampling. Record Scale/Balance ID and Cal. Due Date.</t>
  </si>
  <si>
    <t>Calculate Net Weight After Sampling</t>
  </si>
  <si>
    <t>Calculate: Gross Weight (Step 9.25) - Tare Weight (Step 7.3 or 8.5) = Net Weight (kg).</t>
  </si>
  <si>
    <t>Calculate Volume After Sampling</t>
  </si>
  <si>
    <t>Calculate: Net Weight (Step 9.26) ÷ Density (1.052 kg/L) = Volume (L).</t>
  </si>
  <si>
    <t>Conditional Dilution Check</t>
  </si>
  <si>
    <t>If Formulated Bulk A280 was 114.0-126.0 g/L per Step 9.28, N/A all of Section 10 and proceed to Section 11.</t>
  </si>
  <si>
    <t>Calculate Total Grams of Undiluted Product</t>
  </si>
  <si>
    <t>Calculate: Volume (Step 9.27) × Concentration (Step 9.28) = Total grams of Undiluted Formulated Bulk Product (g).</t>
  </si>
  <si>
    <t>Calculate Diluted Volume Range (Max/Target/Min)</t>
  </si>
  <si>
    <t>Triple calculation: Total grams (Step 10.2) ÷ Target Concentrations (114.0/120.0/126.0 g/L) = Volume Range Max/Target/Min (L).</t>
  </si>
  <si>
    <t>Calculate Diluted Net Weight Range (Max/Target/Min)</t>
  </si>
  <si>
    <t>Triple calculation: Volume Range (Step 10.3) × Density (1.052 kg/L) = Net Weight Range Max/Target/Min (kg).</t>
  </si>
  <si>
    <t>Calculate Weight of Formulation Buffer Needed</t>
  </si>
  <si>
    <t>Triple calculation: Diluted Net Weight (Step 10.4) - Net Weight after sampling (Step 9.26) = Buffer Weight Max/Target/Min (kg).</t>
  </si>
  <si>
    <t>Calculate Volume of Formulation Buffer to Add</t>
  </si>
  <si>
    <t>Triple calculation: Buffer Weight (Step 10.5) ÷ Buffer Density (1.02 kg/L) = Buffer Volume Max/Target/Min (L). Buffer PN: 8012043.</t>
  </si>
  <si>
    <t>Select Dilution Method</t>
  </si>
  <si>
    <t>Conditional: By pipette/grad cylinder/carboy/bottle → next step. By connecting buffer to vessel → N/A Steps 10.8-10.10, go to Step 10.11.</t>
  </si>
  <si>
    <t>Obtain Intermediate Vessel and Materials</t>
  </si>
  <si>
    <t>Obtain vessel for buffer transfer. Label as 'Intermediate Vessel'. Record material info for multiple items (Carboy/Grad. Cylinder/Bottle/Pipette/Tubing). Select measurement method.</t>
  </si>
  <si>
    <t>Transfer Formulation Buffer to Intermediate Vessel</t>
  </si>
  <si>
    <t>Transfer formulation buffer (8012043) to intermediate vessel.</t>
  </si>
  <si>
    <t>Add Buffer from Intermediate Vessel</t>
  </si>
  <si>
    <t>Add formulation buffer from intermediate vessel to Formulated Bulk Vessel per measurement method.</t>
  </si>
  <si>
    <t>Set Up Direct Pump Connection for Dilution</t>
  </si>
  <si>
    <t>Connect buffer or intermediate vessel to Formulated Bulk Vessel. Record Pump ID, Tubing Info (PN/Batch/Exp/Autoclave).</t>
  </si>
  <si>
    <t>Tare Scale and Add Buffer by Weight</t>
  </si>
  <si>
    <t>Tare scale for Formulated Bulk Vessel. Add buffer until Target weight (Step 10.5). Record Net Weight added, Scale/Balance ID, Cal. Due Date. SAP Consumption.</t>
  </si>
  <si>
    <t>Record Additional Tubing Information</t>
  </si>
  <si>
    <t>Record additional tubing info if applicable for buffer connection.</t>
  </si>
  <si>
    <t>Record Gross Weight After Dilution</t>
  </si>
  <si>
    <t>Disconnect buffer line. Remove vessel from area. Record gross weight with attachments removed, Scale/Balance ID, Cal. Due Date.</t>
  </si>
  <si>
    <t>Calculate Net Weight After Dilution</t>
  </si>
  <si>
    <t>Calculate: Gross Weight (Step 10.14) - Tare Weight (Step 7.3 or 8.5) = Net Weight (kg). If above max range (Step 10.4), contact supervisor.</t>
  </si>
  <si>
    <t>Calculate Volume After Dilution</t>
  </si>
  <si>
    <t>Calculate: Net Weight (Step 10.15) ÷ Density (1.052 kg/L) = Volume before sampling (L).</t>
  </si>
  <si>
    <t>Mix Product for ≥30 Minutes (Post-Dilution)</t>
  </si>
  <si>
    <t>Mix by agitation ≥30 min. Record Mixer ID, Agitation Setting (RPM), Start/End Time, Duration (≥30 min).</t>
  </si>
  <si>
    <t>Collect Post-Dilution Sample (8011768-20)</t>
  </si>
  <si>
    <t>Per SOP-0107097, remove sample volume per Attachment 1. Record Sampling Time and Date.</t>
  </si>
  <si>
    <t>Aliquot Samples (8011768-20)</t>
  </si>
  <si>
    <t>Aliquot per Attachment 1. If applicable, aliquot non-routine samples per Attachment 3.</t>
  </si>
  <si>
    <t>Label, Submit Samples and Record Concentration</t>
  </si>
  <si>
    <t>Label per SOP-0107056, submit per SOP-0080295. Record Formulated Bulk Concentration (114.0-126.0 g/L). If not in range, contact supervisor.</t>
  </si>
  <si>
    <t>Record Osmolality (Post-Dilution)</t>
  </si>
  <si>
    <t>Measure osmolality per SOP-0080509. Record osmolality (FIO) in mOsm/kg.</t>
  </si>
  <si>
    <t>Record DLIMS Project ID (Post-Dilution)</t>
  </si>
  <si>
    <t>Record DLIMS Project ID for the post-dilution sample.</t>
  </si>
  <si>
    <t>Record Gross Weight After Sampling (Post-Dilution)</t>
  </si>
  <si>
    <t>Record gross weight of Formulated Bulk Vessel after sampling.</t>
  </si>
  <si>
    <t>Calculate Net Weight After Sampling (Post-Dilution)</t>
  </si>
  <si>
    <t>Calculate: Gross Weight (Step 10.23) - Tare Weight (Step 7.3 or 8.5) = Net Weight (kg).</t>
  </si>
  <si>
    <t>Calculate Volume After Sampling (Post-Dilution)</t>
  </si>
  <si>
    <t>Calculate: Net Weight (Step 10.24) ÷ Density (1.052 kg/L) = Volume (L).</t>
  </si>
  <si>
    <t>Record Non-Routine Sample Volume (Pre-Filtration)</t>
  </si>
  <si>
    <t>If non-routine sample(s) need to be collected prior to bulk filtration, record the volume below. If non-routine samples are not required, insert a value of '0'.</t>
  </si>
  <si>
    <t>Collect Endotoxin and Bioburden Samples (8011768-30)</t>
  </si>
  <si>
    <t>Remove the volume of product per Attachment 1: AZ Sampling Record and Attachment 3: Non-Routine Sampling Record, as applicable. Follow procedures in SOP-0107097 for sampling. Record Sample Date and Time.</t>
  </si>
  <si>
    <t>Aliquot Pre-Filtration Samples (8011768-30)</t>
  </si>
  <si>
    <t>Label and Submit Pre-Filtration Samples</t>
  </si>
  <si>
    <t>Label per SOP-0107056, submit per SOP-0080295.</t>
  </si>
  <si>
    <t>Confirm pH Meter Standardization</t>
  </si>
  <si>
    <t>Confirm pH meter standardized between pH 4.0 and pH 10.0 per SOP-0080297. Confirm conductivity meter calibrated. Record Meter ID.</t>
  </si>
  <si>
    <t>Measure pH, Conductivity, and Temperature</t>
  </si>
  <si>
    <t>Measure pH (5.2-5.4 FIO), conductivity (mS/cm), temperature (15-25°C) per SOP-0080297 and SOP-0107117. Record Meter ID and results. If pH not in range, contact supervisor.</t>
  </si>
  <si>
    <t>Disconnect Lines and Close Formulated Bulk Vessel</t>
  </si>
  <si>
    <t>Ensure inlet and outlet of Formulated Bulk Vessel are closed. Disconnect all lines from the vessel.</t>
  </si>
  <si>
    <t>Record Gross Weight of Formulated Bulk Product</t>
  </si>
  <si>
    <t>Obtain gross weight of ALXN2230 Formulated Bulk Product. Record Scale/Balance ID and Calibration Due Date.</t>
  </si>
  <si>
    <t>Calculate Net Weight of Pre-Filtered Product</t>
  </si>
  <si>
    <t>Calculate: Gross Weight (Step 12.2) - Tare Weight (Step 7.3 or 8.5) = Net Weight of Pre-Filtered Product (kg).</t>
  </si>
  <si>
    <t>Calculate Volume of Pre-Filtered Product</t>
  </si>
  <si>
    <t>Calculate: Net Weight (Step 12.3) ÷ Density (1.052 kg/L) = Volume (L).</t>
  </si>
  <si>
    <t>Verify Labels Printed and Attachment 16 Completed</t>
  </si>
  <si>
    <t>Ensure labels printed and Section 1 of Attachment 16: Label Control and Reconciliation completed per SOP-0107056. Can be performed out of sequence.</t>
  </si>
  <si>
    <t>Prepare Room and Obtain Supplies</t>
  </si>
  <si>
    <t>Prepare room and obtain supplies for bulk filtration per SOP-0080259. Bolded filter part numbers require autoclaving before use.</t>
  </si>
  <si>
    <t>Contact QA for Process Area Clearance</t>
  </si>
  <si>
    <t>Contact QA to ensure Process Area Clearance per SOP-0107057 prior to starting aseptic bulk filtration. Can be performed out of sequence.</t>
  </si>
  <si>
    <t>Obtain Pressure Gauge for Celsius FFT Manifold</t>
  </si>
  <si>
    <t>Obtain pressure gauge for manifold (PN: 6004566). Record Gauge ID, Calibration Due Date, Manual Cleaning Expiration Date.</t>
  </si>
  <si>
    <t>Record Bulk Filtration Set-Up Components</t>
  </si>
  <si>
    <t>Set up per SOP-0080259. Record tubing/hose barb Part Number/Description, Batch Number, Exp. Date, Autoclave Cycle No., Autoclave Exp. Date in multi-row table.</t>
  </si>
  <si>
    <t>Reference Celsius FFT Vessel Working Volumes</t>
  </si>
  <si>
    <t>Reference table of min/max working volumes and weights for 2L, 4L, and 6L Celsius FFT Gen 1 vessels (0.8-5.7 L / 0.85-6.06 kg ranges).</t>
  </si>
  <si>
    <t>Select DS Vessel Size (Min/Max Working Volume)</t>
  </si>
  <si>
    <t>From the table in Step 12.10, determine the DS vessel minimum and maximum filling volumes for the selected Celsius FFT size.</t>
  </si>
  <si>
    <t>Record Non-Routine Sample Volume (Post-Filtration)</t>
  </si>
  <si>
    <t>Record volume of non-routine samples to be collected after bulk filtration. If none, enter 0.</t>
  </si>
  <si>
    <t>Calculate Total Sample Volume</t>
  </si>
  <si>
    <t>Calculate: Routine sample volume (1.595 L fixed) + Non-routine sample volume (Step 12.12) = Total sample volume (L).</t>
  </si>
  <si>
    <t>Calculate Net Weight of DS to be Sampled</t>
  </si>
  <si>
    <t>Calculate: Total sample volume (Step 12.13) × Density (1.052 kg/L) = Net weight of DS to be sampled (kg).</t>
  </si>
  <si>
    <t>Calculate Expected Net Weight of DS After Sampling</t>
  </si>
  <si>
    <t>Calculate: Net Weight Pre-Filtered Product (Step 12.3) - Weight of DS to be sampled (Step 12.14) = Expected Net Weight after sampling (kg).</t>
  </si>
  <si>
    <t>Calculate Minimum Net Weight of DS Vessel</t>
  </si>
  <si>
    <t>Calculate: DS Vessel Minimum Filling Volume (Step 12.11) × Density (1.052 kg/L) = Minimum Net Weight.</t>
  </si>
  <si>
    <t>Calculate Maximum Net Weight of DS Vessel</t>
  </si>
  <si>
    <t>Calculate: DS Vessel Maximum Filling Volume (Step 12.11) × Density (1.052 kg/L) = Maximum Net Weight.</t>
  </si>
  <si>
    <t>Calculate Target Number of DS Vessels</t>
  </si>
  <si>
    <t>Calculate: Expected Net Weight (Step 12.15) ÷ Maximum Net Weight per vessel (Step 12.17) = Target number.</t>
  </si>
  <si>
    <t>Round Up Number of DS Vessels Needed</t>
  </si>
  <si>
    <t>Round target number to next largest whole number. Record Number of DS Vessels Needed.</t>
  </si>
  <si>
    <t>Obtain and Label DS Vessels</t>
  </si>
  <si>
    <t>Obtain required DS Vessels (PN: 6004565 6L Celsius FFTs). Label sequentially: DS-1, DS-2, DS-3, etc. per SOP-0107056 with ALXN2230, 8011768, batch number, storage condition.</t>
  </si>
  <si>
    <t>Obtain Sterile Manifold Set</t>
  </si>
  <si>
    <t>Obtain Sterile Manifold Set (PN: 6004566). Record Batch Number, Expiration Date. SAP Consumption recording.</t>
  </si>
  <si>
    <t>Obtain AQ-G Y Assembly and Bulk Filter Trans Sets</t>
  </si>
  <si>
    <t>Obtain 1 Sterile AQ-G Y Assembly (PN: 6002745) and 2 Sterile Bulk Filter Trans Set AQ-G/AQ-S (PN: 6004585). Record Part No., Batch No., Exp. Date, Qty. SAP Consumption.</t>
  </si>
  <si>
    <t>Obtain Celsius FFT Sampling Manifolds</t>
  </si>
  <si>
    <t>Obtain Celsius FFT Sampling Manifold AQ-S (PN: 6004580, 5×30mL sterile). Record Part Number, Batch Number, Exp. Date, Quantity. SAP Consumption.</t>
  </si>
  <si>
    <t>Connect Manifold Set to Kleenpak Adapter</t>
  </si>
  <si>
    <t>Connect outlet of Sterile Manifold Set (PN: 6004566) to inlet of Sterile AseptiQuik G to Female Kleenpak Adapter (PN: 6002795). Follow Attachment 12 instructions.</t>
  </si>
  <si>
    <t>Connect Kleenpak Adapter to AQ-G Y Assembly</t>
  </si>
  <si>
    <t>Connect outlet of Kleenpak Adapter (PN: 6002795) to the 'Y' single end of Sterile AQ-G Assembly (PN: 6002745). Follow Attachment 12.</t>
  </si>
  <si>
    <t>Connect Y-Assembly Legs to Bulk Filter Trans Sets</t>
  </si>
  <si>
    <t>Per diagram, connect each open leg of the 'Y' of AQ-G Assembly (PN: 6002745) to each Sterile Bulk Filter Trans Set AQ-G/AQ-S (PN: 6004585). Follow Attachment 12.</t>
  </si>
  <si>
    <t>Connect Sampling Manifold to Manifold 1</t>
  </si>
  <si>
    <t>On Manifold 1, connect one open AQ-S connection to the Celsius FFT Sampling Manifold (PN: 6004580). Follow Attachment 12 instructions.</t>
  </si>
  <si>
    <t>Set Up Manifold 2 with Sampling Manifolds</t>
  </si>
  <si>
    <t>Set up Manifold 2 with two AQ-S connections to Celsius FFT Sampling Manifold (PN: 6004580) per diagram. Close all clamps on Manifold 1 and 2.</t>
  </si>
  <si>
    <t>Obtain Additional Sterile Components</t>
  </si>
  <si>
    <t>Obtain any additional sterile AQ-G to Male KPC Adapters (PN: 6002866), AQ-G Assemblies (PN: 6002745), or Manifold Extender Pieces (PN: 6003170) if needed.</t>
  </si>
  <si>
    <t>Thread Tubing Through Peristaltic Pump</t>
  </si>
  <si>
    <t>Thread tubing from Step 12.9 through peristaltic pump per SOP-0080839. Connect one end to inlet of Sterile Manifold Set. Ensure Formulated Bulk Vessel outlet is closed. Record Pump ID.</t>
  </si>
  <si>
    <t>Label Sample Bags</t>
  </si>
  <si>
    <t>Label all sample bags per SOP-0107056: on Celsius FFT Sampling Manifold (PN: 6004580), label each 30 mL bag for -40 samples per Attachment 1 and -40-ALXN samples per Attachment 2.</t>
  </si>
  <si>
    <t>Set Up Benchtop Balance for Samples</t>
  </si>
  <si>
    <t>Set up benchtop balance to weigh samples. Document scale information in Attachment 15: Sample Fill for -40 and -40-ALXN Samples. Ensure balance cleaned and weight-checked.</t>
  </si>
  <si>
    <t>Review Bulk Filtration Process Flow</t>
  </si>
  <si>
    <t>Review filtration process flow order: DS-1 vessel with side sample filled → Celsius FFT Sample Manifold filled → Fill remaining DS vessels with side samples → Remaining -40-ALXN samples.</t>
  </si>
  <si>
    <t>Connect Formulated Bulk Vessel to Sterile Manifold</t>
  </si>
  <si>
    <t>Ensure Formulated Bulk Vessel outlet is closed, then connect outlet to inlet of sterile manifold. Ensure all other manifold clamps are closed.</t>
  </si>
  <si>
    <t>Obtain and Connect Celsius FFT Bags to Manifolds</t>
  </si>
  <si>
    <t>Obtain appropriate number of 6L Celsius FFT bags (PN: 6004565) per Step 12.19. Connect to Manifolds 1 and 2 Sterile Bulk Filter Trans Set AQ-G/AQ-S (PN: 6004585). Celsius FFT bags can be interchanged as needed.</t>
  </si>
  <si>
    <t>Obtain Product Filter and Record Information</t>
  </si>
  <si>
    <t>Obtain product filter (SHC 0.5+0.2 μm capsule). Record Part No., Batch No., Exp. Date, Serial No., Autoclave Cycle No./Exp. Date if applicable. SAP Consumption.</t>
  </si>
  <si>
    <t>Perform Pre-Use Filter Integrity Test</t>
  </si>
  <si>
    <t>Perform pre-use filter integrity test per SOP-0107233. Record results in Attachment 5: Filter Integrity Test Worksheet.</t>
  </si>
  <si>
    <t>Calculate Weight of Each DS Vessel Including Side Sample</t>
  </si>
  <si>
    <t>Calculate: Expected Net Weight after sampling (Step 12.15) ÷ Number of DS Vessels (Step 12.19) = Weight of each DS Vessel including Side Sample (kg).</t>
  </si>
  <si>
    <t>Calculate Target Net Weight for Each DS Vessel</t>
  </si>
  <si>
    <t>Calculate: Weight of each DS Vessel (Step 13.4) - Weight of 30 mL Side Sample (0.0263 kg) = Target Net Weight of each DS Vessel (kg).</t>
  </si>
  <si>
    <t>Verify All Clamps and Outlets Closed</t>
  </si>
  <si>
    <t>Ensure clamp on each DS Vessel is closed. Ensure outlet on each DS Vessel is closed. Verify pinch clamps leading to all DS Vessels are closed.</t>
  </si>
  <si>
    <t>Additional Filter Note</t>
  </si>
  <si>
    <t>If an additional filter is needed to complete bulk filtration, record new filter information in Attachment 5 and note the change in Attachment 8: Comments Section.</t>
  </si>
  <si>
    <t>Record DS-1 Sampling Date and Time</t>
  </si>
  <si>
    <t>Once all batch record samples are aliquoted, record the time and date of sampling.</t>
  </si>
  <si>
    <t>DS-1 Side Sample Fill</t>
  </si>
  <si>
    <t>DS-1 Side Sample checklist: place labeled BDS side sample 30 mL bag on scale, zero scale, open bag, start pump at low speed, fill to target weight, stop pump, close clamp, seal.</t>
  </si>
  <si>
    <t>Celsius FFT Sample Manifold Samples</t>
  </si>
  <si>
    <t>Sample into Celsius FFT Sample Manifold (PN: 6004580). Ensure samples labeled per Step 12.31.</t>
  </si>
  <si>
    <t>Fill 2L FFT Sampling Bag</t>
  </si>
  <si>
    <t>Fill 2L FFT: place labeled 2L FFT bag on scale, zero, open bag, start pump at low speed, ensure air bled from filter, fill to target weight, stop pump, close clamp.</t>
  </si>
  <si>
    <t>Fill 30 mL Sampling Bags</t>
  </si>
  <si>
    <t>Fill 30 mL bag: place labeled bag on scale, zero, open bag, start pump, fill to ~25 mL target weight, stop pump, close clamp, seal.</t>
  </si>
  <si>
    <t>Repeat Sampling for Remaining Manifold Samples</t>
  </si>
  <si>
    <t>REPEAT Step 13.14 for remaining Celsius FFT Sample Manifold (PN: 6004580) samples listed in Attachment 15: Sample Fill for -40 and -40-ALXN Samples.</t>
  </si>
  <si>
    <t>DS-2 Vessel Fill</t>
  </si>
  <si>
    <t>DS-2 Fill checklist: open pinch clamp to DS-2 Vessel, place on scale, zero, open bag, start pump, fill to Target Net Weight, stop pump, close clamp.</t>
  </si>
  <si>
    <t>DS-2 Side Sample Fill</t>
  </si>
  <si>
    <t>DS-2 Side Sample checklist: place labeled BDS side sample 30 mL bag on scale, zero, open bag, start pump, fill to target weight, stop pump, close clamp, seal.</t>
  </si>
  <si>
    <t>Remaining DS Vessels Fill</t>
  </si>
  <si>
    <t>Remaining DS Vessel checklist: open pinch clamp to DS Vessel, place on scale, zero, open bag, start pump, fill to Target Net Weight (Step 13.5), stop pump, close clamp.</t>
  </si>
  <si>
    <t>Remaining DS Side Samples Fill</t>
  </si>
  <si>
    <t>Remaining Side Sample checklist: place labeled BDS side sample 30 mL bag on scale, zero, open bag, start pump, fill to target weight, stop pump, close clamp. REPEAT Steps 13.18-13.19 for remaining DS vessels.</t>
  </si>
  <si>
    <t>Record Filtration End Time and Duration</t>
  </si>
  <si>
    <t>Record Filtration Start Time (from Step 13.7), Filtration End Time, and calculate Duration (min).</t>
  </si>
  <si>
    <t>N/A Unused Vessel Rows in Attachments</t>
  </si>
  <si>
    <t>N/A the rows for vessel numbers that were not required in Attachment 13: Celsius FFT Vessel Tare Weights and Attachment 14: Formulated Drug Substance Vessel Calculations.</t>
  </si>
  <si>
    <t>Disconnect Pressure Gauge and Verify 0 PSI</t>
  </si>
  <si>
    <t>After completion of bulk filtration, disconnect pressure gauge from sterile manifold and verify reads 0 psi. If not, contact supervisor.</t>
  </si>
  <si>
    <t>Record Total Number of DS Vessels Filled</t>
  </si>
  <si>
    <t>Record the total number of ALXN2230 Formulated Drug Substance vessels filled.</t>
  </si>
  <si>
    <t>Verify DS Vessel Net Weights Within Range</t>
  </si>
  <si>
    <t>Ensure each Formulated Drug Substance vessel net weight is within the weight ranges from Step 12.11.</t>
  </si>
  <si>
    <t>Verify Labeling on Fill Site Samples and FFT Vessels</t>
  </si>
  <si>
    <t>Ensure Fill Site side-samples and 6L FFT vessels labeled with: ALXN2230, 8011768, Batch Number, Sample Volume, Corresponding DS Vessel Number, Performer Initials/Date.</t>
  </si>
  <si>
    <t>Verify Side Samples Clean and Attached to DS Vessels</t>
  </si>
  <si>
    <t>Ensure exterior of each Fill Site side sample is clean and free of debris. Ensure each side sample is attached to its corresponding DS vessel.</t>
  </si>
  <si>
    <t>Verify Pinch Clamps Closed and Cable Tied</t>
  </si>
  <si>
    <t>Verify pinch clamps of all Celsius FFTs are closed, clamped and cable tied prior to freezing and storage. Ensure all FFT lines tucked in channel along inside of vessel.</t>
  </si>
  <si>
    <t>Ensure All DS Vessels Labeled per SOP-0107056</t>
  </si>
  <si>
    <t>Ensure all DS vessels labeled with: ALXN2230, 8011768, Lot Number, DS Vessel number, Date of Manufacture, Storage Condition per SOP-0107056.</t>
  </si>
  <si>
    <t>Complete Attachment 16: Label Control with QA</t>
  </si>
  <si>
    <t>Complete the remaining sections in Attachment 16: Label Control and Reconciliation with QA.</t>
  </si>
  <si>
    <t>Calculate Total Net Weight Using Attachment 14</t>
  </si>
  <si>
    <t>Calculate total net weight of ALXN2230 Formulated Drug Substance filled using Attachment 14: Formulated Drug Substance Vessel Calculations – Celsius FFT Vessels.</t>
  </si>
  <si>
    <t>Post-Use Filter Integrity Test and Label</t>
  </si>
  <si>
    <t>Label product filter with ALXN2230 Formulated Drug Substance, 8011768, batch number per SOP-0107056. Integrity test per SOP-0107233. Attach printout to Attachment 5.</t>
  </si>
  <si>
    <t>Record Initial Storage Location</t>
  </si>
  <si>
    <t>Record storage location for initial storage of ALXN2230 Formulated Drug Substance. NOTE: Hold for ≤168 hours at 2-8°C for initial storage. Record Storage Location, Start Time, Temperature (2-8°C).</t>
  </si>
  <si>
    <t>Record Hold Times in Attachment 4</t>
  </si>
  <si>
    <t>Record values in Attachment 4: Hold Times. Map MPR steps to Attachment field names: End Time of EAB Addition → PFI Storage End (Step 9.10 or 9.16).</t>
  </si>
  <si>
    <t>Confirm SAP Value Equals Attachment 14 Total</t>
  </si>
  <si>
    <t>Confirm that the SAP value for the bulk substance equals the total net weight in Attachment 14: Formulated Drug Substance Vessel Calculations. Production Initial/Date.</t>
  </si>
  <si>
    <t>Review Batch Production Record</t>
  </si>
  <si>
    <t>Review the Batch Production Record for completeness and submit for review. Production Initial/Date.</t>
  </si>
  <si>
    <t>Production Record Review</t>
  </si>
  <si>
    <t>Completed Record Reviewed By: Production signature and date.</t>
  </si>
  <si>
    <t>Quality Assurance Record Review</t>
  </si>
  <si>
    <t>Completed Record Reviewed By: Quality Assurance signature and date.</t>
  </si>
  <si>
    <t>ATT-2</t>
  </si>
  <si>
    <t>Attachment 2: Alexion Sampling Plan</t>
  </si>
  <si>
    <t>Alexion-specific sampling plan with -40-ALXN samples: Release GMP Testing (2×25 mL), Client Retain (2×25 mL), Non-GMP Analytical Assays (25 mL), DPD Retain (2×20 mL), Reference Standard (2×250 mL), Stability (750 mL in 2L Celsius FFT Gen II Bag), Extended Characterization (2×25 mL), BDS Tailgate Samples ([Step 13.24]×30 mL). Pre-loading instructions for DLIMS.</t>
  </si>
  <si>
    <t>ATT-3</t>
  </si>
  <si>
    <t>Attachment 3: Non-Routine Sampling Record</t>
  </si>
  <si>
    <t>Two-page form for non-routine samples: re-adjust product weight after sampling, log into DLIMS per SOP-0080295, record Project Number, Sample Number, sample details. Continuation page included.</t>
  </si>
  <si>
    <t>ATT-8</t>
  </si>
  <si>
    <t>Attachment 8: Comments Section</t>
  </si>
  <si>
    <t>Two-page free-text form for documenting deviations, supervisor decisions, out-of-specification events, process notes, material changes, and additional information.</t>
  </si>
  <si>
    <t>ATT-9</t>
  </si>
  <si>
    <t>Attachment 9: Bulk Filtration Set-Up Diagram</t>
  </si>
  <si>
    <t>Diagram and configuration documentation for bulk filtration assembly showing tubing connections, filter placement, manifold configuration. Sartorius Celsius FFT bag sizes can be interchanged.</t>
  </si>
  <si>
    <t>ATT-10</t>
  </si>
  <si>
    <t>Attachment 10: 6L Celsius FFT Vessel Schematic (PN 6004565)</t>
  </si>
  <si>
    <t>Reference schematic showing 6L Celsius FFT vessel configuration, port locations, and connection points.</t>
  </si>
  <si>
    <t>ATT-11</t>
  </si>
  <si>
    <t>Attachment 11: Sterile Bulk Filter Trans Set AQ-G/AQ-S Schematic (PN: 6004585)</t>
  </si>
  <si>
    <t>Reference schematic: AQ-S connectors for Celsius FFT Sampling Manifold (PN: 6004580), AQ-G connectors for Celsius FFT Vessels.</t>
  </si>
  <si>
    <t>ATT-12</t>
  </si>
  <si>
    <t>Attachment 12: AQ-G/AQ-S Sterile Connector Instructions</t>
  </si>
  <si>
    <t>Three-page step-by-step instructions for aseptic connections using AQ-G and AQ-S sterile connectors.</t>
  </si>
  <si>
    <t>Virus Iactivation Batch Record Analysis</t>
  </si>
  <si>
    <t xml:space="preserve">Batch ID: PN - 8012441 </t>
  </si>
  <si>
    <t>Record Room Number</t>
  </si>
  <si>
    <t>Record the room where the VI process will occur. Simple room number entry with signature.</t>
  </si>
  <si>
    <t>Measure pH, Conductivity, Temperature</t>
  </si>
  <si>
    <t>Measure pH, conductivity (mS/cm), and temperature (°C) of Affinity product per SOP-0080297 and SOP-0107117. Record all three values.</t>
  </si>
  <si>
    <t>Verify Affinity Product Warm-Up Time</t>
  </si>
  <si>
    <t>If Affinity Product was warmed from cold storage, ensure time removed from 2-8°C storage matches Attachment 3 hold time. Conditional check.</t>
  </si>
  <si>
    <t>Starting Product Temperature Check / Decision Tree</t>
  </si>
  <si>
    <t>Conditional decision tree based on temperature: 18-25°C → proceed to Step 10.9; &lt;18°C → start warming (Section 9); &gt;25°C → contact supervisor. Cross-reference to multiple sections.</t>
  </si>
  <si>
    <t>Verify pH Meter Standardization (pH 2.0-7.0)</t>
  </si>
  <si>
    <t>Confirm pH meter standardized between pH 2.0 and pH 7.0 per SOP-0080297. Confirm thermometer calibrated per SOP-0107117. Record Meter ID.</t>
  </si>
  <si>
    <t>VI Treatment Vessel Setup - Comprehensive</t>
  </si>
  <si>
    <t>Complex vessel setup form: Bag info (Part No., Batch No., Exp. Date, SAP consumption), mixer drive/top base/magnetic clamp attachments, OR Tank info (Tank ID, CIP Batch, CIP Exp, Pressure Test, SIP Batch). Filter info for vent filter + up to 3 product filters with autoclave tracking. Tare weight recording with scale ID.</t>
  </si>
  <si>
    <t>Verify Thermometer Calibration</t>
  </si>
  <si>
    <t>Confirm thermometer is within calibration interval per SOP-0107117. Record Thermometer ID.</t>
  </si>
  <si>
    <t>Acid Treatment - Iterative pH Titration Table</t>
  </si>
  <si>
    <t>Complex iterative acid addition table: Record initial pH, conductivity, temperature (18-25°C), start time. For each addition cycle: gross weight before, end time, gross weight after, net weight of buffer added (calculation), total net weight, time of pH sampling, adjusted pH, sample temperature. Up to 12 addition rows. Target pH 3.5 (NOR 3.4-3.6). Record final pH confirmed time, final pH, final conductivity, temperature, SAP consumption, Start Time for Incubation.</t>
  </si>
  <si>
    <t>Record Tare and Net Weight of Affinity Product</t>
  </si>
  <si>
    <t>Record tare weight and net weight of AZD0543 Affinity Product vessel. Record SoloVPE concentration (8012440-30), DLIMS Project/Sample numbers.</t>
  </si>
  <si>
    <t>Ensure Agitation (Extension)</t>
  </si>
  <si>
    <t>Ensure agitation is on for the extension acid addition.</t>
  </si>
  <si>
    <t>Mix Product (≥15 minutes)</t>
  </si>
  <si>
    <t>Mix product for at least 15 minutes per SOP-0080423 (LevTech) or SOP-0107102 (MagMix) or SOP-0107095 (tank). Record Mixer ID, agitation RPM, start/end times, calculate duration.</t>
  </si>
  <si>
    <t>Neutralization Treatment - Iterative pH Titration Table</t>
  </si>
  <si>
    <t>Complex iterative base addition table: Record scale/balance ID, calibration date. For each addition: gross weight before, end time, gross weight after, net weight buffer added (calculation), total net weight, pH sampling time, adjusted pH. Up to 5 addition rows. SAP consumption. Record final pH (7.2-7.6), final conductivity, temperature (15-27°C).</t>
  </si>
  <si>
    <t>Collect Pre-Treatment Sample (8012441-10)</t>
  </si>
  <si>
    <t>Remove sample volume per Attachment 1 and SOP-0107097. Record sampling date/time. Non-routine samples per Attachment 2 if applicable.</t>
  </si>
  <si>
    <t>Calculate Net Weight of Neutralized VI Product</t>
  </si>
  <si>
    <t>Calculate: Net Weight of Affinity (Step 7.12 or 8.10) + Total Net Weight of Acid (Step 10.9 or 12.4) + Total Net Weight of Base (Step 14.11) = Net Weight/Volume of Neutralized VI Product (kg=L). Multi-step cross-reference calculation.</t>
  </si>
  <si>
    <t>Aliquot Sample per Attachment 1</t>
  </si>
  <si>
    <t>Aliquot sample (8012441-10) per Attachment 1: Sampling Record. Aliquot non-routine samples per Attachment 2 if applicable.</t>
  </si>
  <si>
    <t>Measure Final pH, Conductivity, Temperature</t>
  </si>
  <si>
    <t>Measure pH (7.2-7.6), conductivity (mS/cm), temperature (°C) of neutralized VI product. Contact Supervisor if pH outside 7.2-7.6.</t>
  </si>
  <si>
    <t>Submit Sample to DLIMS Storage</t>
  </si>
  <si>
    <t>Submit sample to storage location indicated in DLIMS per SOP-0080295. Ensure sampling tube label information matches DLIMS.</t>
  </si>
  <si>
    <t>Store Product and Document Hold Times</t>
  </si>
  <si>
    <t>Store product, document storage info. Record hold times in Attachment 3. Map: Start time of addition → Affinity Product Storage End.</t>
  </si>
  <si>
    <t>Attachment 3: Hold Times</t>
  </si>
  <si>
    <t>Affinity Product storage tracking: up to 3 holds with Location, Temperature (RT or 2-8°C), Storage Start/End times, calculated hold durations for RT and 2-8°C separately. Total RT Hold Time (alert if &gt;72 hrs), Total 2-8°C Hold Time, Total Combined Hold Time (alert if &gt;168 hrs). Requires calculations and conditional supervisor contact.</t>
  </si>
  <si>
    <t>Obtain Gross Weight After Sampling</t>
  </si>
  <si>
    <t>Obtain gross weight of Affinity product vessel after sampling. Record Scale/Balance ID and Calibration Due Date.</t>
  </si>
  <si>
    <t>Attachment 5: Transfer Tubing/Hosing Information</t>
  </si>
  <si>
    <t>Material tracking for up to 3 tubing/hoses: Part No., Batch No., Exp. Date, Autoclave Cycle No./Exp. Date (if applicable), Hose Serial No., Cleaning Batch ID/Exp. Date. Dual signature.</t>
  </si>
  <si>
    <t>Calculate net weight: Gross Weight (Step 7.11) − Tare Weight (Step 7.5) = Affinity Weight/Volume after sampling (kg=L).</t>
  </si>
  <si>
    <t>SAP Consumption Recording</t>
  </si>
  <si>
    <t>Record SAP consumption for materials used in Section 7.</t>
  </si>
  <si>
    <t>N/A Check - Same Vessel for VI</t>
  </si>
  <si>
    <t>If Affinity product vessel will be used as VI Treatment Vessel, N/A all of Section 8, go to Section 9 or 10.</t>
  </si>
  <si>
    <t>Obtain and Label VI Treatment Vessel</t>
  </si>
  <si>
    <t>Obtain product vessel, label with AZD0543, VI Treatment Vessel, batch number per SOP-0107056.</t>
  </si>
  <si>
    <t>Record Bill of Materials Info</t>
  </si>
  <si>
    <t>Record solution batch numbers from Section 5 Document Process Flow Sheet. Starting Material (PN 8012440), Acid (PN A-005168), Base (PN A0101-D).</t>
  </si>
  <si>
    <t>Obtain Transfer Tubing/Hosing</t>
  </si>
  <si>
    <t>Obtain transfer tubing or clean flex hose. Record info in Attachment 5: Transfer Tubing/Hosing Information.</t>
  </si>
  <si>
    <t>Connect Transfer Tubing</t>
  </si>
  <si>
    <t>Connect transfer tubing/hose from outlet of Affinity Product Vessel to inlet of VI Treatment Vessel. Confirm dip tube orientation for tanks.</t>
  </si>
  <si>
    <t>Transfer Affinity Product</t>
  </si>
  <si>
    <t>Transfer all Affinity product to VI Treatment Vessel. Disconnect transfer tubing after completion.</t>
  </si>
  <si>
    <t>Mix Product in Treatment Vessel (≥15 min)</t>
  </si>
  <si>
    <t>Mix product ≥15 minutes per SOP-0107102 (MagMix) or SOP-0107095 (tank). Record Mixer ID, agitation RPM, start/end times, duration.</t>
  </si>
  <si>
    <t>Measure Temperature After Transfer</t>
  </si>
  <si>
    <t>Aliquot 10 mL sample into 50 mL conical, measure temperature. Record Scale/Balance ID, Calibration Due Date. Obtain gross and net weight after sampling.</t>
  </si>
  <si>
    <t>Calculate Net Weight in Treatment Vessel</t>
  </si>
  <si>
    <t>Calculate net weight: Gross Weight − Tare Weight (Step 8.4) = Net weight in VI Treatment Vessel (kg=L).</t>
  </si>
  <si>
    <t>Temperature Check / Decision Tree (Transfer)</t>
  </si>
  <si>
    <t>Conditional decision tree: 18-25°C → transcribe to Step 10.9; &lt;18°C → start warming Section 9; &gt;25°C → contact supervisor. Same logic as 7.14 for transferred product.</t>
  </si>
  <si>
    <t>Start Mixing and Warming</t>
  </si>
  <si>
    <t>Start mixing per SOP-0107102 (bag) or SOP-0107095 (tank). Record Mixer ID, agitation RPM, mixing start time. Begin warming with Powerblanket or glycol loop.</t>
  </si>
  <si>
    <t>Temperature Sampling During Warming</t>
  </si>
  <si>
    <t>Aliquot 10 mL sample, measure temperature. Conditional decision tree: 18-25°C → measure pH/conductivity/temp, proceed to Step 10.9; &lt;18°C → continue warming, resample; &gt;25°C → contact supervisor.</t>
  </si>
  <si>
    <t>Record Mixing End Time and Duration</t>
  </si>
  <si>
    <t>Record mixing end time. Calculate mixing duration from Step 9.1 start time (≥15 minutes required).</t>
  </si>
  <si>
    <t>Obtain Acid Transfer Tubing</t>
  </si>
  <si>
    <t>Obtain tubing and/or hosing for transfer of 1M Acetic Acid to starting material. Record in Attachment 5.</t>
  </si>
  <si>
    <t>Confirm Dip Tube (if tank)</t>
  </si>
  <si>
    <t>If using a tank, confirm VI Treatment Vessel has dip tube on inlet oriented to bottom of vessel.</t>
  </si>
  <si>
    <t>Connect Acid Transfer Line</t>
  </si>
  <si>
    <t>Attach tubing/hosing from outlet of acid buffer vessel (A-005168) to inlet of VI Treatment Vessel. Prime the line.</t>
  </si>
  <si>
    <t>Record Gross Weight After Priming</t>
  </si>
  <si>
    <t>Record gross weight of VI Treatment Vessel after priming. Record scale/balance used.</t>
  </si>
  <si>
    <t>Ensure Agitation is On</t>
  </si>
  <si>
    <t>Verify agitation is running on VI Treatment Vessel before acid addition.</t>
  </si>
  <si>
    <t>Calculate Expected Acid Amount</t>
  </si>
  <si>
    <t>Calculate: Net Weight of Affinity (Step 7.12 or 8.10) × Acid Addition Ratio (0.013 kg acid/kg product) = Recommended weight of acid (kg).</t>
  </si>
  <si>
    <t>Calculate Initial Acid Addition Weight</t>
  </si>
  <si>
    <t>Calculate: Recommended weight of acid (Step 10.6) × Initial Addition Ratio (0.50) = Target Weight for Initial Acid Addition (kg).</t>
  </si>
  <si>
    <t>Acid Treatment Instructions</t>
  </si>
  <si>
    <t>Instructions for filling out the acid treatment table in Step 10.9. Begin transferring 1M Acetic Acid into VI Treatment Vessel.</t>
  </si>
  <si>
    <t>Mid-Incubation Temperature Check (Bag)</t>
  </si>
  <si>
    <t>If treatment vessel is a bag, perform mid-incubation temperature check. Record sampling time and temperature. If tank, N/A this step.</t>
  </si>
  <si>
    <t>Confirm Incubation Parameters</t>
  </si>
  <si>
    <t>Confirm product incubated ≥60 minutes (target 75 min, NOR 60-240 min) within pH 3.4-3.6 and 18-25°C. Record time of sampling, pH, conductivity, temperature. Calculate incubation duration: Time of Sampling (Step 11.2) − Start Time for Incubation (Step 10.9).</t>
  </si>
  <si>
    <t>Incubation Decision Tree</t>
  </si>
  <si>
    <t>Conditional logic: pH &gt;3.6 → continue to Section 12 (Acid Extension); pH 3.4-3.6 AND temp 18-25°C → N/A Sections 12-13, go to Section 14; pH &lt;3.4 OR temp out of range → contact area manager, document in Attachment 7.</t>
  </si>
  <si>
    <t>Instructions for Extension Acid Treatment</t>
  </si>
  <si>
    <t>Instructions for continuing acid treatment if pH was above 3.6 after initial incubation.</t>
  </si>
  <si>
    <t>N/A Check for Extension</t>
  </si>
  <si>
    <t>If extension not needed (pH was within range), N/A this section.</t>
  </si>
  <si>
    <t>Acid Treatment Extension - Iterative pH Titration Table</t>
  </si>
  <si>
    <t>Continuation of acid addition: Same complex iterative table structure as Step 10.9. Record gross weights before/after, net weights, running totals, pH sampling times, adjusted pH values. Up to 6 addition rows. SAP consumption. Record final pH, conductivity, temperature, Start Time for Incubation.</t>
  </si>
  <si>
    <t>Mid-Incubation Temperature Check (Extension)</t>
  </si>
  <si>
    <t>If vessel is a bag, check mid-incubation temperature during extension. Record sampling time and temperature.</t>
  </si>
  <si>
    <t>Confirm Extension Incubation Parameters</t>
  </si>
  <si>
    <t>Confirm product incubated ≥60 minutes within pH 3.4-3.6 and 18-25°C. Record time, pH, conductivity, temperature. Calculate duration: Time (Step 13.2) − Start Time (Step 12.4).</t>
  </si>
  <si>
    <t>Extension Incubation Decision Tree</t>
  </si>
  <si>
    <t>Conditional: pH 3.4-3.6 AND temp 18-25°C → continue to Section 14; pH or temp out of range → contact area manager, document in Attachment 7.</t>
  </si>
  <si>
    <t>Disconnect Acid Transfer Tubing</t>
  </si>
  <si>
    <t>Disconnect acid transfer tubing from VI Treatment Vessel. Drain tubing used for acid addition.</t>
  </si>
  <si>
    <t>Glycol Loop Management (if tank)</t>
  </si>
  <si>
    <t>If using a tank and glycol loop was activated, keep glycol circulating during neutralization if needed.</t>
  </si>
  <si>
    <t>Connect Base Transfer Line</t>
  </si>
  <si>
    <t>Attach tubing/hosing from outlet of 1M Tris Base vessel (A0101-D) to inlet of VI Treatment Vessel. Prime the line.</t>
  </si>
  <si>
    <t>Record Gross Weight After Base Priming</t>
  </si>
  <si>
    <t>Record gross weight of VI Treatment Vessel after priming base line in Step 14.11.</t>
  </si>
  <si>
    <t>Ensure Agitation is On (Base)</t>
  </si>
  <si>
    <t>Verify agitation is running before base addition.</t>
  </si>
  <si>
    <t>Calculate Expected Base Amount</t>
  </si>
  <si>
    <t>Calculate: Total Net Weight of Acid added (Step 10.9 or 12.4) × Base Addition Ratio (1.20 kg base/kg acid) = Recommended weight of base (kg). If extension acid used, ensure total from both additions is used.</t>
  </si>
  <si>
    <t>Calculate Initial Base Addition Weight</t>
  </si>
  <si>
    <t>Calculate: Recommended weight of base (Step 14.6) × Initial Addition Ratio (0.50) = Target Weight of Initial Base Addition (kg).</t>
  </si>
  <si>
    <t>Base Addition Instructions</t>
  </si>
  <si>
    <t>Instructions for Steps 14.9 and 14.10 on filling out the neutralization table in Step 14.11.</t>
  </si>
  <si>
    <t>End of Incubation Information</t>
  </si>
  <si>
    <t>Record end-of-incubation data: pH at end (3.4-3.6), temperature (18-25°C), calculate Total Duration of Incubation (60-240 min NOR): End time − Start time.</t>
  </si>
  <si>
    <t>Instructions for Neutralization Treatment</t>
  </si>
  <si>
    <t>After target incubation of 75 minutes (NOR 60-240 min), begin base addition to neutralize. Target pH 7.4, NOR 7.2-7.6.</t>
  </si>
  <si>
    <t>Re-standardize pH Meter (pH 4.0 and 10.0)</t>
  </si>
  <si>
    <t>Re-standardization of benchtop pH meter with pH 4.0 and pH 10.0 standards required when pH ≥4.0. Record pH Meter ID.</t>
  </si>
  <si>
    <t>Close Base Valve, Disconnect, Drain</t>
  </si>
  <si>
    <t>Once pH confirmed in neutralization range, close outlet of base vessel, disconnect/drain tubing.</t>
  </si>
  <si>
    <t>Record Gross Weight After Neutralization</t>
  </si>
  <si>
    <t>Obtain and record gross weight of VI Treatment Vessel after neutralization. Record Scale/Balance ID and Calibration Due Date.</t>
  </si>
  <si>
    <t>Mix VI Product (≥15 minutes)</t>
  </si>
  <si>
    <t>Mix product ≥15 minutes per SOP-0080423 (LevTech), SOP-0107102 (MagMix), or SOP-0107095 (tank). Record Mixer ID, agitation RPM, start/end times, duration.</t>
  </si>
  <si>
    <t>Collect Post-Neutralization Sample (8012441-30)</t>
  </si>
  <si>
    <t>Aliquot Sample (8012441-30)</t>
  </si>
  <si>
    <t>Aliquot sample (8012441-30) per Attachment 1: Sampling Record. Aliquot non-routine samples per Attachment 2 if applicable.</t>
  </si>
  <si>
    <t>Submit Sample to DLIMS</t>
  </si>
  <si>
    <t>Submit sample to storage location in DLIMS per SOP-0080295. Ensure sampling tube label matches DLIMS.</t>
  </si>
  <si>
    <t>Obtain Gross Weight After Final Sampling</t>
  </si>
  <si>
    <t>Record gross weight of VI Treatment Vessel after sampling. Record Scale/Balance ID and Calibration Due Date.</t>
  </si>
  <si>
    <t>Calculate Net Weight/Volume of VI Product</t>
  </si>
  <si>
    <t>Calculate: Gross Weight (Step 15.6) − Tare Weight (Step 7.5 or 8.4) = Net Weight/Volume of VI Product after sampling (kg=L).</t>
  </si>
  <si>
    <t>Attach Supporting Documentation</t>
  </si>
  <si>
    <t>Ensure any additional supporting documentation is included (e.g., additional Pi Trends, Memos, Logbook pages).</t>
  </si>
  <si>
    <t>Verify SAP Net Weight Input</t>
  </si>
  <si>
    <t>Verify that product net weight after sampling (Step 15.7) is correctly inputted into SAP.</t>
  </si>
  <si>
    <t>Review and Submit Batch Record</t>
  </si>
  <si>
    <t>Review Batch Production Record for completeness and submit for Production and QA review.</t>
  </si>
  <si>
    <t>Attachment 1: Sampling Record</t>
  </si>
  <si>
    <t>Detailed sampling record table for VI (8012441) with DLIMS Project #, pre-load signature. 11 sample types across 2 designations (-10 Affinity Product and -30 VI Product). Samples: BIOBURDEN_IP, ENDOTOXIN_IP_GPF1, SOLO_A280 (STAT), CIEF_NATIV, CHO_SYBR, EL_CHO_GEN, SEC_PUR, CGE_N_RED, ABT Retain (5×14mL), PPS Small Retain (3×14mL). Record volume, location, tube type, intermediate storage temp, DLIMS storage temp, sample numbers.</t>
  </si>
  <si>
    <t>Attachment 2: Non-Routine Sampling Record</t>
  </si>
  <si>
    <t>Form for documenting non-routine samples: Process Section No., Contents, DLIMS Form/Project/Sample Number, Container Type, Quantity, Tests, Designation, Receiving Group, Storage Temp. Re-adjust weight if non-routine samples taken. Up to 5 entries.</t>
  </si>
  <si>
    <t>Attachment 4: Yield Calculations</t>
  </si>
  <si>
    <t>Multi-step yield calculations: Load Mass Pre-Sampling (Volume × Concentration), Load Mass Post-Sampling, Final Product Mass Pre-Sampling (Step 14.15 × concentration from 8012441-30), Final Product Mass Post-Sampling (Step 15.7 × concentration). Step Yield = (c)÷(b)×100%. MPR Yield = (d)÷(a)×100%. Cross-references to multiple steps.</t>
  </si>
  <si>
    <t>Attachment 6: Product Recirculation Worksheet</t>
  </si>
  <si>
    <t>Recirculation tracking for Sections 7, 8, 9, and 15: Product Name, Tubing Part/Batch/Exp/Autoclave info, Mixing Start/End Time, Mixing Duration (≥40 minutes). Four column entries for different process sections.</t>
  </si>
  <si>
    <t>Attachment 7: Comments Section</t>
  </si>
  <si>
    <t>4-page free-text form for documenting deviations, supervisor decisions, out-of-specification events, process notes, and any additional information. Step No., Comments (initial and date each entry), Initials/Date columns. Approximately 44 blank rows across pages.</t>
  </si>
  <si>
    <t>Virus Filtration Batch Record Analysis</t>
  </si>
  <si>
    <t>Batch ID: PN - 8012475</t>
  </si>
  <si>
    <t>Record the room number where this process will occur. | Room Number</t>
  </si>
  <si>
    <t>Record CIPDS/Skid Information</t>
  </si>
  <si>
    <t>Obtain and record the following information from the AZD0543 CIPDS (FORM-0071789) and Skid Logbook. | CIPDS part number | CIPDS lot number | Skid ID | Cassette installation date | No. of cassettes used | Cassette part number | Cassette batch number | Cassette expiration date | Additional cassette batch number, if applicable | Additional cassette expiration date, if applicable | Hold-up volume of the UF/DF Skid | Total surface area of cassettes | Support Plate part number | Support Plate batch number | Support Plate expiration date | Logbook Number | CIPDS SAP Consumption Performed by/Date</t>
  </si>
  <si>
    <t>Record VF Product Information</t>
  </si>
  <si>
    <t>In the Step 7.6 “Virus Filtration Product Information” table:If a tank was used, N/A Vessels 2 and 3.  For bag(s), N/A any unused Vessel fields.Record the net weight of each Virus Filtration Product from(MABR-0027575) MPR or the label of each product transport vessel.Record the tare weight of each Virus Filtration Product Vessel.Record the product concentration of each Virus Filtration Product Vessel.Record the corresponding DLIMS project number and sample number for the Virus Filtration Product(s) vessels.</t>
  </si>
  <si>
    <t>Pre-Processing Verification</t>
  </si>
  <si>
    <t>Pre-Processing Activities for the UF/DF SkidVerify the data for the UF/DF Skid to be used.From the logbook, record in Step 7.4 the logbook number, the CIPDS batch number, and the date when the actions were documented.Ensure that the UF/DF Skid’s most immediate storage after sanitization has not exceeded 30 days storage.If the storage duration is greater than 30 days, contact a supervisor and document actions taken in Attachment 9: Comments Section.</t>
  </si>
  <si>
    <t>Calculate Total Grams VF Product per Vessel</t>
  </si>
  <si>
    <t>Calculate the total grams of Virus Filtration Product in each vessel.NOTE:  N/A any unused Vessel fields below. | Virus Filtration (VF) Product Volume (Step 7.7) | Vessel 1 | L | Vessel 2, if applicable | L | Vessel 3, if applicable | L | Total grams of VF Product before sampling(Vessel 1 grams + Vessel 2 grams + Vessel 3 grams)</t>
  </si>
  <si>
    <t>Calculate Minimum Membrane Surface Area</t>
  </si>
  <si>
    <t>Calculate the total membrane surface area needed for the UFDF process: | Total grams of VF Product before sampling(Step 7.8) | g</t>
  </si>
  <si>
    <t>Calculate VF Product Volume per Vessel</t>
  </si>
  <si>
    <t>Calculate the Virus Filtration Product volume in each vessel.NOTE:  N/A any unused Vessel fields below. | Virus Filtration Product Net Weight(Step 7.6) | Vessel 1 | kg | Vessel 2, if applicable | kg | Vessel 3, if applicable | kg</t>
  </si>
  <si>
    <t>Sample Retentate/Permeate — Record Results</t>
  </si>
  <si>
    <t>At the end of the recipe, take a sample of the retentate and permeate and record the results below. | Retentate Values | Conductivity (≤ 1 mS/cm) | Temperature (15 – 25°C) | Permeate Values | Conductivity (≤ 1 mS/cm) | Temperature (15 – 25°C)</t>
  </si>
  <si>
    <t>Mix VF Product (≥15 min)</t>
  </si>
  <si>
    <t>Mix the Virus Filtration product for at least 15 minutes and record mixing information below:Follow SOP-0080423 for the LevTech mixer. Follow SOP-0107095 for agitation in fixed tanks.If mixing by recirculation, N/A this step and document mixing in Attachment 7: Product Recirculation Work Sheet.N/A any unused Vessel fields below. | Vessel 1 | Mixer ID (if applicable) | Agitation Speed | Start Time | Duration (≥ 15 min) | Vessel 2, if applicable | Mixer ID (if applicable) | Agitation Speed | Start Time | Duration (≥ 15 min) | Vessel 3, if applicable | Mixer ID (if applicable) | Agitation Speed | Start Time | Duration (≥ 15 min)</t>
  </si>
  <si>
    <t>Weigh Product Vessels — Calculate Net Weight</t>
  </si>
  <si>
    <t>Weigh the product vessel(s) and record below.  N/A any unused Vessel fields.Calculate the Net Weight for each vessel.The “Total Net Weight after sampling” is the sum of the net weights for each vessel. | Vessel | Gross Weight | Virus Filtration Product Vessel Tare Weight(Step 7.6) | Net Weight a | Total Net Weight of VF Product after sampling(Vessel 1 + Vessel 2 + Vessel 3) | Scale/Balance ID | Cal. Due Date | Net Weight = Gross weight – Virus Filtration Product Vessel Tare Weight</t>
  </si>
  <si>
    <t>Verify Installed Surface Area ≥ Minimum</t>
  </si>
  <si>
    <t>Verify the total installed surface area of cassettes (Step 7.2) is greater than or equal to the minimum membrane surface area calculated in Step 7.9.</t>
  </si>
  <si>
    <t>Obtain &amp; Label Retentate Vessel (TK-1927)</t>
  </si>
  <si>
    <t>Obtain the Retentate Vessel.Label the vessel “Retentate Vessel”.Record the vessel’s tank ID, clean expiration date and time, sterilization expiration date and time, Cleaning and SIP Batch IDs and date of passed pressure test.Record the volume of the Retentate Vessel. | Tank ID | Cleaning Exp. Date / Time | Tank Date of Passed Pressure Test | Cleaning Batch ID | Sterilization Exp. Date/ Time | Sterilization Batch ID | Retentate Vessel Volume | Vent Filter Information | Part Number | Batch Number | Expiration Date | Serial Number | SAP Consumption Performed by/Date</t>
  </si>
  <si>
    <t>WFI Setup and Charge</t>
  </si>
  <si>
    <t>Set up per SOP-0107111.WFI collected/obtained directly from the WFI Hold Tank (TK-1458) per SOP-0080303:Verify the SIP of the WFI Hold Tank was completed and the tank status is “Clean.”Before connecting to the UF skid, WFI Flush the TK-1458 WFI port on the transfer panel per the following instructions:Ensure an appropriately sized Tee with bleed valve is connected to the manual valve leading from TK-1458 on the transfer panel, then attach a clean hose to the other end of the Tee.Connect the other end of the hose to a process drain port.Ensure any valves on the process drain port are open, if applicable.Open the manual valve leading from the TK-1458 port. Ensure the valve is completely open.Flush TK-1458 through the transfer panel port manual valve to process drain for ≥30 seconds, then close the manual valve on the TK-1458 transfer panel port.N/A the bag information. WFI was/will be collected into a bag: Record the WFI collection vessel information.Verify that the WFI port has been flushed per SOP-0080185.Charge into the vessel and record the charge information. | Bag, if applicable | WFI Valve ID/Tank ID | WFI ChargeDate/Time | WFI Expiration Date/Time* | * The WFI Expiration Date/Time is 24 hours from the WFI Charge Date/Time. | SAP Consumption Performed by/Date</t>
  </si>
  <si>
    <t>Record Tare Weight Before Attachment</t>
  </si>
  <si>
    <t>Tare weight of Retentate Vessel before attachment</t>
  </si>
  <si>
    <t>Confirm pH/Conductivity Meter Standardized</t>
  </si>
  <si>
    <t>Confirm that the pH meter has been standardized per SOP-0080297.Confirm that the conductivity meter has been standardized perSOP-0080297. | Meter ID</t>
  </si>
  <si>
    <t>Sample Retentate/Permeate (pH/Cond/Temp)</t>
  </si>
  <si>
    <t>Collect a sample from the permeate and retentate lines for pH, conductivity, and temperature measurement. Record the results below.NOTE:  If the Retentate and Permeate pH values are not within range, contact a supervisor prior to proceeding and document actions taken in Attachment 9: Comments Section. | Retentate Values | pH (5.7 - 6.1) | Conductivity | Temperature (15 – 25°C) | Permeate Values | pH | Conductivity | Temperature (15 – 25°C)</t>
  </si>
  <si>
    <t>Confirm Thermometer Calibration</t>
  </si>
  <si>
    <t>Confirm that the thermometer is within its calibration interval. Record the equipment ID of the thermometer used. | Thermometer ID</t>
  </si>
  <si>
    <t>Record Conc 2 End Time/Weight/Volume</t>
  </si>
  <si>
    <t>Concentration 2 End Time | Retentate Weight * | Permeate Volume</t>
  </si>
  <si>
    <t>Ensure UF System Setup for WFI Flush</t>
  </si>
  <si>
    <t>Ensure that the Ultrafiltration (UF) system is set up for WFI flush of the installed cassettes according to SOP-0107111.</t>
  </si>
  <si>
    <t>Calculate Recovery Product Volume</t>
  </si>
  <si>
    <t>Calculate the volume of the Recovery Product after Transfer. | Net weight of Recovery Product after Transfer(Step 16.32) | kg</t>
  </si>
  <si>
    <t>Enter Cassette Surface Area on HMI</t>
  </si>
  <si>
    <t>On the UF/DF Skid HMI, enter the total installed cassette surface area in m2 (Step 7.2):Click on the membrane Area Setpoint input box.Enter Total Surface Area of Cassettes in m2 (Step 7.2) and press ENTER.Click ACCEPT on the Membrane Area Change pop-up window.</t>
  </si>
  <si>
    <t>Obtain PFI Storage Vessel</t>
  </si>
  <si>
    <t>Obtain a mixing bag or bottle for the filtration and storage of the PFI.Record the bag or bottle information below and ensure the vessel is labeled with “AZD0543”, “Pre-Formulated Intermediate”, batch number, part number, and initials/date.NOTE:  A mixing bag is preferred to use for storage. | Bag information (if applicable) | Bag Part No. | Bag Batch No. | Bag Exp. Date | SAP Consumption Performed by/Date | Glass Bottle Information (if applicable) | Glass Bottle Description | Glass Bottle Autoclave Cycle No. | Glass Bottle Autoclave Exp. Date</t>
  </si>
  <si>
    <t>Connect WFI to UF/DF Skid Feed Line</t>
  </si>
  <si>
    <t>Connect the WFI supply inlet to the UF/DF Skid feed line.Ensure that the retentate and permeate lines on the UF/DF Skid are directed to waste.</t>
  </si>
  <si>
    <t>Obtain SHC Filter</t>
  </si>
  <si>
    <t>Obtain an SHC filter per Section 4 and record the filter information below.NOTE: The bolded filter part number(s) in Section 4 require autoclaving. | Pre-Formulated Intermediate Product Filter Information | Part Number | Batch No. | Exp. Date | Autoclave Information, if applicable | AutoclaveCycle No. | SAP Consumption Performed by/Date</t>
  </si>
  <si>
    <t>Calculate Target Flush Volume (22 L/m²)</t>
  </si>
  <si>
    <t>Calculate the target volume of solution needed for a 22.0 L/m2 WFI and Equilibration flushes. | Target Flush Volume | 22.0 L/m2</t>
  </si>
  <si>
    <t>Operation Parameters</t>
  </si>
  <si>
    <t>Operation Parameters: 8-page recording form for Time, Pressures (Feed/Retentate/Permeate/ΔP), Pump Settings, Flow Rate, TMP, UV (OD), Weight, Totalizer, Temperature, Conductivity readings throughout UF/DF operations.</t>
  </si>
  <si>
    <t>Run DF1244_Flush (Pre-Use WFI)</t>
  </si>
  <si>
    <t>Download and run DF1244_Flush according to SOP-0107111 to flush the UF/DF Skid with WFI.Record the batch ID and start time. The batch ID should follow this format:MPR Part Number_PrepWFI_Batch number_Processing DateNOTE: The membranes should be flushed no more than 24 hours before use. | Batch ID | Start Time</t>
  </si>
  <si>
    <t>Product Recirculation Work Sheet</t>
  </si>
  <si>
    <t>Product Recirculation Work Sheet: Tubing details, pump ID, mixing start/end times, duration tracking for product recirculation.</t>
  </si>
  <si>
    <t>Input Flush Volume Set Points</t>
  </si>
  <si>
    <t>At the user prompt, input the flush volume set points per the table below. | Process Step | Permeate Flush | Retentate Flush</t>
  </si>
  <si>
    <t>Yield Calculations</t>
  </si>
  <si>
    <t>Yield Calculations: Pre-sampling mass, step yield, and MPR yield calculations. References PFI volume from Step 17.16 or 16.33.</t>
  </si>
  <si>
    <t>Start Pre-Use WFI Flush Recipe</t>
  </si>
  <si>
    <t>Go to the Recipe Control screen on the UF/DF Skid HMI, and push START to initiate the pre-use WFI flush.Perform the WFI flush of the UF/DF Skid per SOP-0107111.Sample and document the flush conductivities per Step 8.12.</t>
  </si>
  <si>
    <t>--</t>
  </si>
  <si>
    <t>SOLO_AZ280</t>
  </si>
  <si>
    <t>Attachment pulled from other batch records</t>
  </si>
  <si>
    <t>Recipe Complete — Pump Stops</t>
  </si>
  <si>
    <t>At the completion of the recipe, the status changes from “Running” to “Complete” and the pump stops.</t>
  </si>
  <si>
    <t>Recirculation Protocol</t>
  </si>
  <si>
    <t>Casett Installation</t>
  </si>
  <si>
    <t>Conductivity Check — Conditional N/A</t>
  </si>
  <si>
    <t>If the conductivity is in range, N/A the remainder of Section 8 and go to Section 9.If the conductivity is not in range, go to the next step.</t>
  </si>
  <si>
    <t>VPro test work sheet</t>
  </si>
  <si>
    <t>Run DF1244_Flush (2nd WFI Flush)</t>
  </si>
  <si>
    <t>Download and run DF1244_Flush according to SOP-0107111 to flush the UF/DF Skid with WFI.Record the batch ID and start time.  The batch ID should follow this format:MPR Part Number_PrepWFI2_Batch Number_Processing Date.NOTE: The membranes should be flushed no more than 24 hours prior to use. | Batch ID | Start Time</t>
  </si>
  <si>
    <t>Input Flush Volume Set Points (2nd)</t>
  </si>
  <si>
    <t>At the user prompt, input the flush volumes per the table below. | Process Step | Permeate Flush | Retentate Flush</t>
  </si>
  <si>
    <t>Start 2nd WFI Flush Recipe</t>
  </si>
  <si>
    <t>Go to the Recipe Control screen on the UF/DF Skid HMI, and push START to initiate the WFI flush of the UF/DF Skid.Perform the WFI flush of the UF/DF Skid per SOP-0107111.Sample and document the flush conductivities per Step 8.18.</t>
  </si>
  <si>
    <t>Sample Retentate/Permeate (2nd Flush)</t>
  </si>
  <si>
    <t>Take a sample of the retentate and permeate and record the results below.If the conductivities are not within the specified range after repeating the recipe, contact an area supervisor and document actions taken in Attachment 9: Comments Section. | Retentate Values | Conductivity (≤ 1 mS/cm) | Temperature (15 – 25°C) | Permeate Values | Conductivity (≤ 1 mS/cm) | Temperature (15 – 25°C)</t>
  </si>
  <si>
    <t>Record Cold Storage Removal Time</t>
  </si>
  <si>
    <t>If the Virus Filtration Product was warmed up (from cold storage), ensure the time the product was removed from cold storage is recorded in  Attachment 5: Hold Times.</t>
  </si>
  <si>
    <t>Collect Pre-Process Sample (-10)</t>
  </si>
  <si>
    <t>Remove at least the sample volume per Attachment 3: Sampling Record from each of the product collection vessel per SOP-0107097.If non-routine samples are requested by memo, complete Attachment 4: Non-Routine Sampling Record.N/A any unused Vessel fields below. | Sampling Date and Time, Vessel 1 | Sampling Date and Time, Vessel 2,if applicable | Sampling Date and Time, Vessel 3,if applicable</t>
  </si>
  <si>
    <t>Aliquot Sample (-10)</t>
  </si>
  <si>
    <t>Aliquot the sample (sample designation: 8012475-10-1, 8012475-10-2, or 8012475-10-3, as applicable) per Attachment 3: Sampling Record.If applicable, aliquot non-routine samples per Attachment 4: Non-Routine Sampling Record.Label the sample per SOP-0107056.</t>
  </si>
  <si>
    <t>Submit the sample to the storage location per SOP-0080295.Ensure the sampling time and location are updated in DLIMS.</t>
  </si>
  <si>
    <t>Measure Sample Temperature</t>
  </si>
  <si>
    <t>Place the remaining sample in a 50 ml conical tube and measure the temperature of the sample per SOP-0107117.Record the reading below.N/A any unused Vessel fields below. | Vessel 1 Temperature | Vessel 2 Temperature, if applicable | Vessel 3 Temperature, if applicable</t>
  </si>
  <si>
    <t>Conditional: Transfer Panel Setup</t>
  </si>
  <si>
    <t>If the VF product is in a bag or portable tank, N/A this step. Otherwise, continue below.In Purification, ensure the following:All the necessary transfer panel connections are made for transfer of the VF product to Formulation per SOP-0107099.The condensate flex hose on the transfer panel is removed and the manual valve that the flex hose was attached to is closed. UseSOP-0080548 for Large Purification fixed tanks and SOP-0080323 for Small Purification fixed tanks.</t>
  </si>
  <si>
    <t>Calculate VF Product Volume After Sampling</t>
  </si>
  <si>
    <t>Calculate the Virus Filtration Product Volume after sampling.NOTE:  N/A any unused Vessel fields below. | Net Weight(Step 9.8) | Vessel 1 | kg | Vessel 2, if applicable | kg | Vessel 3, if applicable | kg</t>
  </si>
  <si>
    <t>Calculate Total Grams VF Product After Sampling</t>
  </si>
  <si>
    <t>Calculate the Total Grams of Virus Filtration Product after sampling.NOTE:  N/A any unused Vessel fields below. | Virus Filtration Product Volume after sampling(Step 9.9) | Vessel 1 | L | Vessel 2, if applicable | L | Vessel 3, if applicable | L | Total grams of Virus Filtration Product after sampling(Vessel 1 grams + Vessel 2 grams + Vessel 3 grams)</t>
  </si>
  <si>
    <t>Standardize Skid UV Meter</t>
  </si>
  <si>
    <t>After the skid WFI flush is completed and prior to proceeding to Equilibration, standardized the skid’s UV meter per SOP-0107111.</t>
  </si>
  <si>
    <t>Obtain &amp; Connect Equilibration Buffer</t>
  </si>
  <si>
    <t>Obtain the equilibration buffer, 20 mM histidine/histidine-HCl, 120 mM arginine-HCl, pH 5.9 (PN: 8012555).Connect the equilibration buffer to the UF/DF Skid feed line.</t>
  </si>
  <si>
    <t>Sample Equilibration Buffer (pH/Cond/Temp)</t>
  </si>
  <si>
    <t>Remove a sample of the equilibration buffer and record the results below. | pH (5.7 - 6.1) | Conductivity | Temperature (15 - 25°C)</t>
  </si>
  <si>
    <t>Run DF1244_EQUIL (1st Equilibration)</t>
  </si>
  <si>
    <t>Download and run DF1244_EQUIL according to SOP-0107111 to flush the UF membrane(s).Record the batch ID and start time. The batch ID should follow this format:MPR Part Number_Equil_Batch Number_Processing Date. | Batch ID | Start Time</t>
  </si>
  <si>
    <t>Input Recipe Parameters</t>
  </si>
  <si>
    <t>At the user prompt, input the values per the table below. | Process Step | Permeate Flush | Retentate Flush | Trans-Membrane Pressure (psid) | Cross Flow (L/min/ft2) c</t>
  </si>
  <si>
    <t>TMP/Crossflow Adjustment Note</t>
  </si>
  <si>
    <t>The TMP can be set as needed up to NOR of ≤ 35 psid.  If the TMP is adjusted, record the value in Attachment 9: Comments Section. Ensure the feed pressure does not exceed NOR of ≤ 60 psig.Cross flow can be adjusted within the NOR range of 0.3 – 0.7 L/min/ft2 as needed to ensure feed pressure does not exceed NOR of ≤ 60 psig.  If the cross flow is adjusted, record the new value in Attachment 9: Comments Section.The UF/DF Skid  measures the cross flow in L/min/ft2.  For conversion reference, L/min/ft2  =  L/min/m2  10</t>
  </si>
  <si>
    <t>Start Equilibration Recipe</t>
  </si>
  <si>
    <t>Go to the Recipe Control screen on the UF/DF Skid HMI, and push START to initiate the equilibration of the UF/DF Skid.NOTE:  Ensure the pH meets the range required per Step 10.8.</t>
  </si>
  <si>
    <t>At the completion of the recipe, the status changes from “Running” to “Complete” and the pump stops.Record the amount of equilibration buffer 20 mM histidine/histidine-HCl, 120 mM arginine-HCl, pH 5.9 flushed using the UF/DF skid’s retentate and permeate totalizers.NOTE: The totalizer HMI tags are FQI-301 (retentate) and FQI-201 (permeate). | Retentate Totalizer (FQI-301) | Permeate Totalizer (FQI-201) | SAP Consumption of 8012555 Performed by/Date</t>
  </si>
  <si>
    <t>Sample Permeate — Record Results</t>
  </si>
  <si>
    <t>At the end of the recipe, take a sample of the permeate and record the results below. | Permeate Values | pH (5.7 - 6.1) | Conductivity | Temperature (15 - 25°C)</t>
  </si>
  <si>
    <t>pH Check — Conditional N/A Steps 10.10–10.15</t>
  </si>
  <si>
    <t>If the pH is in range, mark Steps 10.10 through 10.15 as N/A, then proceed to Section 11.If the pH is not in range, go to the next step.</t>
  </si>
  <si>
    <t>Run DF1244_Equil (2nd Equilibration)</t>
  </si>
  <si>
    <t>Download and run DF1244_Equil according to SOP-0107111 to flush the UF membrane(s).Record the batch ID and start time. The batch ID should follow this format:MPR Part Number_Equil2_Batch Number_Processing Date. | Batch ID | Start Time</t>
  </si>
  <si>
    <t>Go to the Recipe Control screen on the UF/DF Skid HMI, and push START to initiate the equilibration of the UF/DF Skid.NOTE:  Ensure the pH meets the range required per Step 10.14.</t>
  </si>
  <si>
    <t>At the end of the recipe, take a sample from the permeate</t>
  </si>
  <si>
    <t>At the end of the recipe, take a sample from the permeate. Record the results below. | Permeate Values | pH (5.7 - 6.1) | Conductivity | Temperature (15 - 25°C)</t>
  </si>
  <si>
    <t>pH Check — Proceed or Contact Supervisor</t>
  </si>
  <si>
    <t>If the pH is in range, go to the next step.If the pH is not in range, contact an area supervisor and document actions in Attachment 9: Comments Section. | Supervisor Contacted</t>
  </si>
  <si>
    <t>Verify Vent Filter Open</t>
  </si>
  <si>
    <t>Verify that the vent filter is open on the Retentate Vessel.</t>
  </si>
  <si>
    <t>Retentate Vessel Tare Setup (Label Valves A-C)</t>
  </si>
  <si>
    <t>Retentate Vessel Tare Set-UpLabel the manual valve on the dip tube of the tank as valve A.Endcap and clamp valve A.Label the tank outlet valve as valve B.End cap the elbow connected to valve B.Label the valve on the tank’s retentate tube as valve C.End cap valve C.</t>
  </si>
  <si>
    <t>Open Valves A, B, C (Relieve Pressure)</t>
  </si>
  <si>
    <t>Ensure that the Retentate Tank vent filter is open per Step 11.2, then open Valves A, B,  and C all the way (while they are end capped) to relieve pressure between the endcap and the valve outlets.Then, close Valves A, B, and C.</t>
  </si>
  <si>
    <t>Record the tare weight of the vessel before it is attached to the UF/DF System. Record the scale/balance equipment ID and calibration due date. | Scale / Balance ID | Scale/Balance Calibration Due Date</t>
  </si>
  <si>
    <t>Install Sight Glass per Attachment 6</t>
  </si>
  <si>
    <t>Per Attachment 6: Retentate Tank , ensure a sight glass is installed on the following:On the VF Product transfer panel manual valve outlet (valve H) If the VF Product is in a bag, N/A the “Transfer Panel (Valve H)” sight glass fields in this step.Prior to valve A (which is attached to the Retentate Vessel inlet).Prior to valve C (which is attached to the retentate tube on the Retentate Vessel).Record the sight glass information below. | Sight Glass Information | Autoclave Cycle No. | Autoclave Exp. Date</t>
  </si>
  <si>
    <t>Retentate Vessel &amp; UF/DF System Setup</t>
  </si>
  <si>
    <t>Retentate Vessel and UF/DF System Set-UpSet up the Retentate Vessel and DF-1244 system per Attachment 6: Retentate Tank and DF-1244 Set-up.Record the tubing/hose information in Attachment 1: Process Tubing/Hose Information.For tubing, record the tubing part number, batch number, expiration date, autoclave cycle number, and autoclave expiration date.For hoses, record the hose serial number.NOTE:  If hoses are used and a serial number is not available, just record that a hose was used in Attachment 1: Process Tubing/Hose Information.Obtain elbows, tees, and manual valves as needed and connect these components to the Retentate Vessel and the UF/DF skid per Attachment 6: Retentate Tank and DF-1244 Set-up.Ensure that manual valves A, B, C, D, E, F, G, H, and I are labeled.Label the Permeate, Retentate, Feed, Recovery, and Charge/Diafiltration (DF) lines.</t>
  </si>
  <si>
    <t>Prepare for System Priming — Valve States</t>
  </si>
  <si>
    <t>Prepare for system priming. Ensure the following valve states: | Valve States | Closed | Opened</t>
  </si>
  <si>
    <t>Initiate Transfer Phase on PCS HMI</t>
  </si>
  <si>
    <t>Ensure that valves E and H are closed.Initiate the transfer phase on the PCS HMI for the VF Product and all the buffers and the that are coming through the transfer panel.NOTE: Confirm that connections are made in Large Purification before proceeding.</t>
  </si>
  <si>
    <t>System Prime — Recovery Line</t>
  </si>
  <si>
    <t>System Prime:  Recovery LinePrime the Recovery Line: Ensure valves A, B, C, D and F are closed.Open bleed valve B-2. Ensure the tubing is directed to waste.Open valves E and G to prime the Recovery Line with the DF Buffer.If necessary, use a pump to prime the Recovery Line.Once no more air is observed exiting bleed valve B-2, close valve E then close bleed valve B-2.Close valve G.NOTE: Buffer charging is performed using diafiltration buffer (PN: 8012555 :20 mM histidine/histidine-HCl, 120 mM arginine-HCl, pH 5.9)</t>
  </si>
  <si>
    <t>System Prime — Charge/DF Line</t>
  </si>
  <si>
    <t>System Prime:  Charge/Diafiltration (DF) LinePrime the Charge/DF Line: Ensure valves A, B, C, D, and I are closed.Open bleed valve B-1. Ensure the tubing is directed to waste.Open valves E and F from the Diafiltration Buffer to the Charge/DF Line.Use the pump to prime the Charge/DF Line, as necessary.Once no more air is observed exiting bleed valve B-1, close valve E, then close bleed valve B-1.Close valve F.NOTE: Buffer charging is performed using diafiltration buffer (PN: 8012555 :20 mM histidine/histidine-HCl, 120 mM arginine-HCl, pH 5.9)</t>
  </si>
  <si>
    <t>Record Tare Weight After Attachment</t>
  </si>
  <si>
    <t>Record the tare weight of the vessel after it is attached to the UF/DF System. Record the scale/balance equipment ID and calibration due date. | Scale / Balance ID | Scale / Balance Calibration Due Date</t>
  </si>
  <si>
    <t>Tare weight of Retentate Vessel after attachment</t>
  </si>
  <si>
    <t>Secure Retentate Vessel Wheels</t>
  </si>
  <si>
    <t>Secure the wheels of the Retentate Vessel.</t>
  </si>
  <si>
    <t>Tare (Zero) Scale</t>
  </si>
  <si>
    <t>Tare (zero) the scale holding the Retentate Vessel.</t>
  </si>
  <si>
    <t>Calculate 80% Vessel Capacity Volume</t>
  </si>
  <si>
    <t>Calculate the volume at 80% Retentate Vessel Capacity. | Retentate Vessel Volume (Step 11.1) | L</t>
  </si>
  <si>
    <t>Calculate 40% Vessel Capacity Volume</t>
  </si>
  <si>
    <t>Calculate the volume at 40% Retentate Vessel Capacity. | Retentate Vessel Volume (Step 11.1) | L</t>
  </si>
  <si>
    <t>Calculate Product Volume After Conc 1</t>
  </si>
  <si>
    <t>Calculate the product volume in the UF/DF Skid after Concentration 1. | Total Grams of VF Product after sampling(Step 9.10) | g</t>
  </si>
  <si>
    <t>Calculate Retentate Volume After Conc 1</t>
  </si>
  <si>
    <t>Calculate the product volume in the Retentate Vessel after Concentration 1. | Product volume in the UF/DF System after Concentration 1 (Step 12.3) | L (Min) | L (Target) | L (Max)</t>
  </si>
  <si>
    <t>Calculate Retentate Weight After Conc 1</t>
  </si>
  <si>
    <t>Calculate the product weight in the Retentate Vessel after Concentration 1. | Product volume in the Retentate Vessel after Concentration 1 (Step 12.4) | L (Min) | L (Target) | L (Max)</t>
  </si>
  <si>
    <t>Calculate DF Permeate Volume Range</t>
  </si>
  <si>
    <t>Calculate the permeate volume range for Diafiltration. | Diafiltration Volume Range(DVs) | 5.5 (min) | 6.0 (target)</t>
  </si>
  <si>
    <t>Calculate Product Volume Range After Conc 2</t>
  </si>
  <si>
    <t>Calculate the product volume range in the UF/DF System after Concentration 2 | Total Grams of VF Product after sampling(Step 9.10) | g</t>
  </si>
  <si>
    <t>Calculate the product volume range in the Retentate Vessel after Concentration 2. | Product volume in the UF/DF System after Concentration 2 (Step 12.7) | L (Min) | L (Target) | L (Max)</t>
  </si>
  <si>
    <t>Calculate Retentate Weight Range After Conc 2</t>
  </si>
  <si>
    <t>Calculate the net weight range of the product in the Retentate Vessel after Concentration 2. | Product volume in the Retentate Vessel after Concentration 2(Step 12.8) | L (Min) | L (Target) | L (Max)</t>
  </si>
  <si>
    <t>Verify Retentate Vessel Configuration</t>
  </si>
  <si>
    <t>Ensure the Retentate Vessel is in the same configuration as it was when its Tare Weight after attachment was obtained in Step 11.12.</t>
  </si>
  <si>
    <t>Prepare for Buffer Charge — Valve States</t>
  </si>
  <si>
    <t>To prepare for buffer charge, verify the following valve states on the Retentate Vessel. | Valve State | Closed | Opened</t>
  </si>
  <si>
    <t>Ensure Hydraulic Valves Closed</t>
  </si>
  <si>
    <t>Ensure that skid’s hydraulic valves to the feed (XV101), retentate (XV301 and XV302) and permeate (XV201) lines are closed.</t>
  </si>
  <si>
    <t>Charge Retentate Vessel with Buffer</t>
  </si>
  <si>
    <t>Open valves A and F.Slowly open valve E from 20 mM histidine/histidine-HCl, 120 mM arginine-HCl, pH 5.9 (PN: 8012555) and charge the Retentate Vessel with buffer to achieve the Vessel Charging Volume at 40% (Step 12.2).Once the weight from Step 12.2 has been reached, immediately close valves A, E, and F.•Document the Weight of the Retentate Vessel after buffer charge below. | Scale ID | Cal. Due Date | Weight of Retentate Vessel after buffer charge | SAP Consumption of 8012555 Performed by/Date</t>
  </si>
  <si>
    <t>Prepare for Recirculation — Valve States</t>
  </si>
  <si>
    <t>To prepare for recirculation, ensure the following: | Valve State | Closed | Opened</t>
  </si>
  <si>
    <t>Open Feed/Retentate Valves on HMI</t>
  </si>
  <si>
    <t>On the UF/DF Skid HMI:Open the valves to the feed (XV101), and retentate (XV301 and XV302).Ensure the permeate valve (XV201) is closed.  Ensure all drain valves (XV103, XV102, and XV202) are closed.NOTE: Drain valves XV102, XV103, and XV202 should not be opened at any time during processing.</t>
  </si>
  <si>
    <t>Recirculate Buffer (Semi-Automatic Mode)</t>
  </si>
  <si>
    <t>Recirculate the charging buffer, click on the “Semi-Automatic” mode on the UF/DF skid screen and input the following initial parameters in the order listed: | Parameter | Feed Pressure (psig) | Feed Valve | Retentate Valves | Permeate Valve | Drain Valves</t>
  </si>
  <si>
    <t>Feed Pressure Adjustment Note</t>
  </si>
  <si>
    <t>The feed pressure can be adjusted as needed to maintain a target TMP of20 psid and a maximum AL feed pressure ≤ 60 psig.  Record changes to transmembrane pressure and/or cross flow setpoint(s) in Attachment 2: Operation Parameters. Record any additional changes in Attachment 9: Comments Section.</t>
  </si>
  <si>
    <t>Record Pump Start Time</t>
  </si>
  <si>
    <t>Record the start time as the time when the is pump turned on. | Start Time</t>
  </si>
  <si>
    <t>Recirculate ≥5 min — Record End Time</t>
  </si>
  <si>
    <t>Recirculate for at least 5 minutes.At the completion of recirculation, stop the skid pump and record the end time and duration below. | End time for recirculation | Duration of recirculation (≥ 5 minutes) *</t>
  </si>
  <si>
    <t>Duration Calculation Note</t>
  </si>
  <si>
    <t>* NOTE: The duration is the time that elapses between the start time for recirculation (Step 13.8) and the end time for recirculation (this step).</t>
  </si>
  <si>
    <t>Post-Recirculation — Close Valves</t>
  </si>
  <si>
    <t>Once buffer recirculation is complete, ensure the following valves on the Retentate Vessel are closed per the table below. | Valve State | Closed | Opened</t>
  </si>
  <si>
    <t>Close Buffer Valves E, F — Open Charge Line</t>
  </si>
  <si>
    <t>Ensure that valves E and F from the charge buffer 20 mM histidine/histidine-HCl, 120 mM arginine-HCl, pH 5.9 (PN: 8012555) vessel are closed.Ensure that the valve A, H, and I on the Charge/DF Line are closed.Ensure valves to feed (XV101) and retentate (XV301 and XV302) are open.Ensure the permeate (XV201) line is closed.</t>
  </si>
  <si>
    <t>Charge VF Product — Conditional Logic</t>
  </si>
  <si>
    <t>Charge the Retentate Vessel with the appropriate amount of Virus Filtered Product according to the charging condition below.Step 9.8: Total VF Product Net Weight after SamplingStep 12.2: Retentate Vessel Charge Volume/Weight at 40% Capacity | Condition | Step 12.2 ≥ Step 9.8 | Step 12.2 ≤ Step 9.8</t>
  </si>
  <si>
    <t>Bleed Air from VF Product/Charge Line</t>
  </si>
  <si>
    <t>Prior to charging in the VF product, ensure the VF Product line and the Charge/DF Line are bled of air by ensuring the following valve states: | Valve State | Closed | Opened</t>
  </si>
  <si>
    <t>Close Bleed Valve — Open Valve A</t>
  </si>
  <si>
    <t>Once no more air is observed exiting from B-1, close B-1 and then close valves H and I.Open valve A.</t>
  </si>
  <si>
    <t>Charge VF Product into Retentate Vessel</t>
  </si>
  <si>
    <t>Open the valve H, then slowly open valve I to charge the appropriate weight of VF product into the Retentate Vessel per Step 13.12, then close valves H and I.Record the weight of the Retentate Vessel after charging and the scale information below.Record the start time of product charge below. | Start Time of Product Charge | Weight of the Retentate Vessel after product charge | Scale/Balance ID | Scale/Balance Calibration Due Date</t>
  </si>
  <si>
    <t>Turn On Agitator — Record Speed</t>
  </si>
  <si>
    <t>Turn on the agitator.  Record the agitator speed setting.Adjust the agitation speed as necessary minimizing foaming.  Record changes in speed in Attachment 2: Operation Parameters, and rationale for change in Attachment 9: Comments Section. | Agitator Setting</t>
  </si>
  <si>
    <t>Pre-Product Recirculation — Valve States</t>
  </si>
  <si>
    <t>Prior to product recirculation, ensure the following valve states: | Valve State | Closed | Opened</t>
  </si>
  <si>
    <t>On the skid HMI: Open the valves to the feed (XV101), and Retentate (XV301 and XV302). Ensure the permeate valve (XV201) is closed.Ensure all drain valves (XV103, XV102, and XV202) are closed.NOTE:  Drain Valves XV102, XV103, and XV202 should not be opened at any time during processing.</t>
  </si>
  <si>
    <t>Recirculate Product (Semi-Automatic Mode)</t>
  </si>
  <si>
    <t>To recirculate the charged product, click on the “Semi-Automatic” mode on the UF/DF Skid screen and input the following initial parameters in the order listed:ParameterValve IDSetpointAlarmFeed Pressure (psig)25 a&gt; 60 bFeed ValveXV101OpenRetentate ValveXV301OpenXV302Permeate ValveXV201ClosedDrain ValvesXV103ClosedXV102XV202The feed pressure can be adjusted as needed to maintain a target TMP of20 psid and a maximum feed pressure of ≤ 60 psig.  Record changes to TMP and/or cross flow setpoint(s) in Attachment 2: Operation Parameters. Record any additional changes in Attachment 9: Comments Section.Max feed pressure NOR is ≤60 psig.</t>
  </si>
  <si>
    <t>The start time for recirculation is the time the pump turned on. | Start Time</t>
  </si>
  <si>
    <t>Continue to recirculate for at least five (5) minutes.Record the end time and the duration of recirculation.Stop the pump.Ensure valve D is closed. | End time for recirculation | Duration of recirculation(≥ 5 minutes) *</t>
  </si>
  <si>
    <t>* NOTE: The duration is the time that elapses between the start time for recirculation (Step 13.19) and the end time for recirculation (this step).</t>
  </si>
  <si>
    <t>Prepare for Conc 1 — Open Permeate Valve</t>
  </si>
  <si>
    <t>To prepare for Concentration 1:Open the permeate valve (XV201) on the skid HMI.Ensure the manual valves on the Retentate Vessel are open or closed per the table below. | Valve State | Closed | Opened</t>
  </si>
  <si>
    <t>Load DF1244_CONC Recipe</t>
  </si>
  <si>
    <t>Click on the “Add Recipe” button in Recipe Control screen.Find and Select DF1244_CONC from the list.Record the Concentration 1 batch ID and start time from the system overview screen. The batch ID should follow this format:MPR Part Number_Conc_1 _Product Lot Number_Processing Date. | Batch ID | Start Time</t>
  </si>
  <si>
    <t>At the user prompt, insert the following values. | Process Step | Trans-Membrane Pressure (psid) | Cross Flow (L/min/ft2)</t>
  </si>
  <si>
    <t>The transmembrane pressure can be set up to ≤ 35 psid as needed. If the value is adjusted, record the value in Attachment 9: Comments Section. Ensure the feed pressure is ≤ 60 psig.The cross flow can be adjusted within the range of 0.3 – 0.7 L/min/ft2, as needed.  If the value is adjusted, record the new value in Attachment 9: Comments Section.</t>
  </si>
  <si>
    <t>Start Concentration 1</t>
  </si>
  <si>
    <t>Push START to initiate the Concentration 1 process.The Start Time is the time the pump turns on. | Start Time</t>
  </si>
  <si>
    <t>Conc 1 Execution — Monitor TMP/Flow/UV</t>
  </si>
  <si>
    <t>Concentration 1Once the skid pump starts, carefully adjust manual valve I on the VF Product Line or adjust the pump speed to control the flow of VF Product into the Retentate Vessel. Maintain the gross charging weight fromStep 13.14 until the Virus Filtration Product vessel(s) is empty.Adjust the crossflow and transmembrane pressure (TMP) setpoint(s) from their initial values, as necessary. See Step 13.23, for appropriate ranges. NOTE: If adjustment occurs, record the adjusted values, the time of adjustment, and the step number in Attachment 2: Operation Parameters.Record additional changes to operational setpoints and the time of the change in Attachment 9: Comments Section.Record the process data in Attachment 2: Operation Parameters approximately every 20 minutes.NOTE: If any of the maximum values below are exceeded, stop process immediately, contact an area supervisor, and document actions taken in Attachment 9: Comments Section. | Parameter | TMP (psid) | Feed Flow (L/min/ft2) | Feed Pressure (psig) | UV (OD)</t>
  </si>
  <si>
    <t>VF Vessel Empty — Close Valve H</t>
  </si>
  <si>
    <t>Once the Virus Filtration product vessel is confirmed empty,Close manual valve H on the VF Product outlet. Ensure the following valve states: | Valve State | Closed | Opened</t>
  </si>
  <si>
    <t>Continue Conc 1 to Target Weight</t>
  </si>
  <si>
    <t>Continue Concentration 1 until the Target product weight in the Retentate Vessel after Concentration 1 (Step 12.5) is achieved. Once the Retentate Vessel reaches the weight in Step 12.5:Stop the pump on the UF/DF skid.Open the retentate valves (XV301 and XV302) completely.Close the permeate valve (XV201).</t>
  </si>
  <si>
    <t>End Conc 1 — Ensure Valve States</t>
  </si>
  <si>
    <t>At the end of Concentration 1, ensure the following: | Valve State | Closed | Open | * NOTE: Valves H and I will remain closed for the rest of the UF/DF process.</t>
  </si>
  <si>
    <t>Record Permeate Volume After Conc 1</t>
  </si>
  <si>
    <t>Record the volume of permeate from the permeate totalizer at the end of Concentration 1. | Permeate Volume</t>
  </si>
  <si>
    <t>Record Net Weight After Conc 1</t>
  </si>
  <si>
    <t>Record the net weight of the product at the end of Concentration 1 from the retentate scale and scale information. | Net Weight of Product after Concentration 1 | Scale ID</t>
  </si>
  <si>
    <t>DF Line Priming with Buffer</t>
  </si>
  <si>
    <t>Diafiltration (DF) Line Priming.Prime the Charge/DF Line with Diafiltration buffer 20 mM histidine/histidine-HCl, 120 mM arginine-HCl, pH 5.9 (8012555) by performing the following:First, ensure valves A, D, E, F, and G are closed.Open bleed valve B-1. Ensure the tubing is directed to waste.Open valves E and F to prime the Charge/DF Line.If necessary, use a pump to prime the Charge/DF Line.Once no more air is observed exiting bleed valve B-1, close valve E, then close bleed valve B-1.Close valve F.Ensure that valves B and C are open.NOTE:  Ensure no Diafiltration (DF) buffer enters the Retentate Vessel during the prime.</t>
  </si>
  <si>
    <t>Load DF1244_Diafiltration Recipe</t>
  </si>
  <si>
    <t>Click on the “Add Recipe” button in Recipe Control screen.Find and Select DF1244_Diafiltration from the list.Record the Diafiltration batch ID and start time from the system overview screen. The batch ID should follow this format:MPR Part Number_Diafiltration_Product Lot Number_Processing Date. | Batch ID | Start Time</t>
  </si>
  <si>
    <t>At the user prompt, enter the following values. | Process Step | Target Permeate Volume after Diafiltration | Trans-Membrane Pressure (psid) | Cross Flow (L/min/ft2)</t>
  </si>
  <si>
    <t>The TMP can be set to ≤ 35 psid as needed. If the TMP is adjusted, record the value in Attachment 9: Comments Section. Ensure the feed pressure is ≤ 60 psig.The cross flow can be adjusted within the range of 0.3 – 0.7 L/min/ft2, as needed.  If the value is adjusted, record the new value in Attachment 9: Comments Section.</t>
  </si>
  <si>
    <t>Open Valve A — Start DF Recipe</t>
  </si>
  <si>
    <t>Ensure that valves E and F remain closed, then open valve A to prepare for Diafiltration.Push START to initiate the Diafiltration recipe</t>
  </si>
  <si>
    <t>DF Execution — Monitor TMP/Flow/UV</t>
  </si>
  <si>
    <t>Diafiltration:Once the skid pump starts:Open valve E, then slowly open valve F to allow diafiltration buffer to enter the Retentate Vessel.Adjust valve F or the buffer pump speed to control the flow of DF buffer to the Retentate Vessel to maintain the weight from Step 13.30. Record the process data in Attachment 2: Operation Parameters approximately every 20 minutes.Prior to the end of diafiltration, obtain samples from the retentate and permeate. Record the appropriate readings in Step 14.10.NOTE: If any of the maximum values below are exceeded, stop process immediately, contact an area supervisor, and document actions taken in Attachment 9: Comments Section. | Parameter | TMP (psid) | Feed Flow (L/min/ft2) | Feed Pressure (psig) | UV (OD)</t>
  </si>
  <si>
    <t>DF Recipe Complete — Close Valves E, F</t>
  </si>
  <si>
    <t>At the completion of the Diafiltration recipe once the skid pump stops, close valves E and F.</t>
  </si>
  <si>
    <t>Record Permeate Volume After DF</t>
  </si>
  <si>
    <t>Record the permeate volume from the permeate totalizer after Diafiltration and ensure it is within the range calculated in Step 12.6. | Permeate Volume | SAP Consumption of 8012555 Performed by/Date</t>
  </si>
  <si>
    <t>Record Net Weight After DF</t>
  </si>
  <si>
    <t>Record the net weight of the product at the end of Diafiltration from the retentate scale and scale information. | Net Weight of Product after Diafiltration | Scale ID</t>
  </si>
  <si>
    <t>Calculate Retentate Volume After DF</t>
  </si>
  <si>
    <t>Calculate the product volume in the Retentate Vessel after Diafiltration. | Net Weight of Product after Diafiltration(Step 14.8) | kg</t>
  </si>
  <si>
    <t>DF pH Check — Conditional Proceed</t>
  </si>
  <si>
    <t>Proceed based on the Step 14.10 sample results: | Check One</t>
  </si>
  <si>
    <t>Contact Supervisor — Additional DF Volume</t>
  </si>
  <si>
    <t>Contact area supervisor to determine additional volume to be used for coninuted Diafiltration. NOTE: Additional Volume = Target Permeate Volume after Continued DiafiltrationNOTE: There is no NOR maximum volume for Diafiltration. | Additional Volume | Supervisor Contacted</t>
  </si>
  <si>
    <t>Click on the “Add Recipe” button in Recipe Control screen.Find and Select DF1244_Diafiltration from the list.Record the Diafiltration batch ID and start time from the system overview screen. The batch ID should follow this format:MPR Part Number_Diafiltration2_Product Lot Number_Processing Date. | Batch ID | Start Time</t>
  </si>
  <si>
    <t>At the user prompt, insert the following values.</t>
  </si>
  <si>
    <t>The TMP can be set to ≤ 35 psid as needed.  If the value is adjusted, record the value in Attachment 9: Comments Section. Ensure the feed pressure is ≤ 60 psig.The cross flow can be adjusted within the range of 0.3 – 0.7 L/min/ft2, as needed.  If the value is adjusted, record the new the value in Attachment 9: Comments Section</t>
  </si>
  <si>
    <t>Ensure that valves E and F remain closed, then open valve A to prepare for Diafiltration.Push START to initiate the Diafiltration recipe.</t>
  </si>
  <si>
    <t>Additional DF Execution — Monitor TMP/Flow/UV</t>
  </si>
  <si>
    <t>Additional Diafiltration:Once the skid pump starts:Open valve E, then slowly open valve F to allow the diafiltration buffer to enter the Retentate Vessel.Adjust valve F or the buffer pump speed to control the flow of DF buffer to the Retentate Vessel to maintain the weight from Step 13.30. Record the process data in Attachment 2: Operation Parameters approximately every 20 minutes.Prior to the end of Diafiltration, obtain samples from the retentate and permeate. Record the appropriate readings in Step 14.21.NOTE: If any of the maximum values below are exceeded, stop process immediately, contact an area supervisor, and document actions taken in Attachment 9: Comments Section. | Parameter | TMP (psid) | Feed Flow (L/min/ft2) | Feed Pressure (psig) | UV (OD)</t>
  </si>
  <si>
    <t>At the completion of the Diafiltration recipe once the skid pumps stops, close valves E and F.</t>
  </si>
  <si>
    <t>Record Permeate Volume After Additional DF</t>
  </si>
  <si>
    <t>Record the permeate volume after continued diafiltration and ensure it is less than or equal to the volume calculated in Step 14.12. | Permeate Volume | SAP Consumption of 8012555 Performed by/Date</t>
  </si>
  <si>
    <t>Record Net Weight After Additional DF</t>
  </si>
  <si>
    <t>Record the net weight of the product at the end of diafiltration from the retentate scale and scale information. | Net Weight of Product after Diafiltration | Scale ID</t>
  </si>
  <si>
    <t>Calculate the product volume in the Retentate Vessel after the additional Diafiltration. | Net Weight of Product after Diafiltration (Step 14.19) | kg</t>
  </si>
  <si>
    <t>Collect a sample from the permeate and retentate lines for pH, conductivity, and temperature measurement.  Record the results below. | Retentate Values | pH (5.7 - 6.1) | Conductivity | Temperature (15 – 25°C) | Permeate Values | pH | Conductivity | Temperature (15 – 25°C)</t>
  </si>
  <si>
    <t>Additional DF pH Check — Conditional Proceed</t>
  </si>
  <si>
    <t>Proceed based on the Step 14.21 sample results: | Check One</t>
  </si>
  <si>
    <t>Prepare for Conc 2 — Reset Totalizer</t>
  </si>
  <si>
    <t>Prior to starting Concentration 2:Reset the permeate totalizer.Ensure the valve states below. | Valve State | Closed | Opened</t>
  </si>
  <si>
    <t>Begin Conc 2 (Semi-Automatic Mode)</t>
  </si>
  <si>
    <t>To begin Concentration 2, click on the “Semi-Automatic” mode on the UF/DF Skid screen and input the following initial parameters in the order listed.NOTE:  Drain valves XV102, XV103, XV202 should not opened at any time during processing.Process StepValve IDSetpointAlarmFeed Pressure (psig) cN/A a&gt; 60Trans-Membrane Pressure (TMP)20 psid35 psid bFeed ValveXV101OpenRetentate ValveXV301OpenXV302Permeate ValveXV201OpenDrain ValvesXV103ClosedXV102XV202Feed Flow/Crossflow (L/min/ft2)0.5The feed pressure can be adjusted to as needed to a maximum AL feed pressure ≤ 60 psig. Record changes to transmembrane pressure and/or cross flow setpoint(s) in Attachment 2: Operation Parameters. Record any additional changes in Attachment 9: Comments Section.The TMP can be set to ≤ 35 psid as needed. If the value is adjusted, notify supervisor if TMP is ≥ 35 psid record the value in Attachment 9: Comments Section. Ensure the feed pressure is ≤ 60 psig.Feed pressure NOR is ≤ 60 psig.</t>
  </si>
  <si>
    <t>Start Concentration 2</t>
  </si>
  <si>
    <t>Push START to initiate the Concentration 2 process.Record the start time as the time the pump turns on. | Start Time</t>
  </si>
  <si>
    <t>Conc 2 Target Reached — Stop Pump</t>
  </si>
  <si>
    <t>When the target weight of the Retentate Vessel after Concentration 2 is reached (Step 12.9):Stop the pump.Ensure the valve states below: | Valve State | Closed | Opened</t>
  </si>
  <si>
    <t>Record the end time, retentate weight and the actual volume of permeate from the permeate totalizer after Concentration 2.* NOTE: Ensure the Retentate Weight is within the range calculated inStep 12.9</t>
  </si>
  <si>
    <t>Post-Conc 2 Recirculation (Semi-Auto)</t>
  </si>
  <si>
    <t>Recirculation:To recirculate the concentrated product, click on the “Semi-Automatic” mode on the UF/DF Skid screen and input the following initial parameters in the order listed:NOTE:  Drain Valves XV102, XV103, XV202 should not opened at any time during processing.ParameterValve IDSetpointAlarmFeed Pressure (psig)25  a,b &gt; 60Feed ValveXV101OpenRetentate ValvesXV301OpenXV302Permeate ValveXV201ClosedDrain ValvesXV103ClosedXV102XV202Feed Flow/Cross Flow (L/min/ft2)≤ 0.7 bThe feed pressure can be adjusted as needed to maintain a target of 25 psig and a maximum feed pressure ≤ 60 psig.  Record changes to TMP and/or cross flow setpoint(s) in Attachment 2: Operation Parameters. Record any additional changes in Attachment 9: Comments SectionThe cross flow can be adjusted, as long as crossflow is ≤ 0.7 L/min/ft2, to obtain the target feed pressure. Do not exceed 60 psig for the feed pressure. If the value is adjusted, record the new value in Attachment 9: Comments Section.</t>
  </si>
  <si>
    <t>Recirculate 5–120 min — Record Times</t>
  </si>
  <si>
    <t>Recirculate for 5 - 120 minutes (max NOR for recirculation is120 mins).Record the start and end time of recirculation below.Once recirculation is complete:Stop the pump.Close valves B and C.Close the Feed Valve (XV101) on the HMI. | Recirculation start time | Recirculation end time | Duration of recirculation (5 - 120 min)</t>
  </si>
  <si>
    <t>Ensure the Retentate Vessel is in the same configuration as it was when its tare weight after attachments was obtained in Step 11.12.</t>
  </si>
  <si>
    <t>Record Weight After Recirculation</t>
  </si>
  <si>
    <t>Record the weight of the Retentate Vessel after Recirculation. | Retentate Weight after Recirculation | Scale ID</t>
  </si>
  <si>
    <t>Calculate Recovery Product Volume Range</t>
  </si>
  <si>
    <t>Calculate the Recovery Product volume range. | Total grams of Virus Filtration Product after sampling(Step 9.10) | g</t>
  </si>
  <si>
    <t>Calculate Recovery Product Weight Range</t>
  </si>
  <si>
    <t>Calculate the Recovery Product weight range. | Recovery Product Volume Range(Step 16.1) | L (Target) | L (Max)</t>
  </si>
  <si>
    <t>Calculate Recovery Buffer Amount</t>
  </si>
  <si>
    <t>Calculate the amount of Recovery buffer to add. | Recovery Product Net Weight range(Step 16.2) | kg (Target) | kg (Max)</t>
  </si>
  <si>
    <t>Calculate Recovery Buffer Volume</t>
  </si>
  <si>
    <t>Calculate the volume of Recovery buffer to add. | Target Weight of Recovery buffer to add(Step 16.3) | kg</t>
  </si>
  <si>
    <t>Pre-Recovery Valve States</t>
  </si>
  <si>
    <t>Prior to Recovery, ensure the valve states listed below: | Valve State | Closed | Opened</t>
  </si>
  <si>
    <t>Select Recovery Method (Recipe/Manual)</t>
  </si>
  <si>
    <t>Choose below whether Recovery will be performed manually or by recipe control: | Check One</t>
  </si>
  <si>
    <t>Recovery by Recipe Control</t>
  </si>
  <si>
    <t>Recovery by Recipe Control (Steps 16.7 – 16.11)Click on the “Add Recipe” button on the Recipe Control screen.Select DF1244_RECOVERY_2 from the list.Record the recovery batch ID and start time from the system overview screen. The batch ID should follow this format:MPR part Number_Recovery _Product Batch Number_Processing Date | Batch ID | Start Time</t>
  </si>
  <si>
    <t>At the user prompt, insert the following values. | Process Step | Retentate Volume | Max Feed Pressure | Target feed pressure is 15 psig.</t>
  </si>
  <si>
    <t>Start Recovery Process</t>
  </si>
  <si>
    <t>Push START to initiate the Recovery process.</t>
  </si>
  <si>
    <t>Recovery Execution — Control Buffer Flow</t>
  </si>
  <si>
    <t>Once the pump starts, slowly open manual valve G to allow Recovery buffer to flow into the Retentate Vessel and to maintain a feed flow of less than or equal to 0.7 L/min/ft2.If the feed pressure exceeds 60 psig, stop the process, contact area management, and document actions taken in Attachment 9: Comments Section. Otherwise mark the box below as “NA” | Supervisor Contacted</t>
  </si>
  <si>
    <t>Recovery Complete — Close Valves C, G</t>
  </si>
  <si>
    <t>At the completion of Recovery when the skid pump stops, immediately close valves C and G to stop the flow of Recovery buffer into the Retentate Vessel.Ensure the remaining manual valves on the UF/DF system are closed per the table below, then N/A Steps 16.12 – 16.13 and proceed to Step 16.14. | Valve State | Closed</t>
  </si>
  <si>
    <t>Manual Recovery — Valve States</t>
  </si>
  <si>
    <t>Manual Recovery (Steps 16.12 – 16.13)Prior to the start of Recovery, verify the valve states below on the UF/DF System: | Valve State | Closed | Opened</t>
  </si>
  <si>
    <t>Manual Recovery Execution</t>
  </si>
  <si>
    <t>Open Feed valve XV101 on the skid HMI, then slowly open manualvalve G to allow Recovery buffer to flow into the Retentate Vessel and to maintain a feed flow of less than or equal to NOR max of 0.7 L/min/ft2.Monitor the weight of the Retentate Vessel until the target Recovery Product Net Weight (Step 16.2)  is achieved, then immediately close valves C and G to stop the flow of Recovery buffer into the Retentate Vessel.Ensure the remaining manual valves on the UF/DF system are closed per the table below. | Valve State | Closed</t>
  </si>
  <si>
    <t>Record Weight After Recovery (w/ Attachments)</t>
  </si>
  <si>
    <t>Obtain the weight of the product after Recovery (with attachments).Record the scale/balance equipment ID and calibration due date. | Weight of product after Recovery (with attachments) | Scale/Balance ID andCal Due Date</t>
  </si>
  <si>
    <t>Calculate the amount of Recovery buffer 8012555 used for the Recovery flush. | Retentate Vessel Weight after Recovery (with attachments)(Step 16.14) | kg | SAP Consumption of 8012555 Performed by/Date</t>
  </si>
  <si>
    <t>Disconnect Retentate Vessel Lines</t>
  </si>
  <si>
    <t>Close all the valves on the Retentate Vessel.Disconnect the following parts:The Charge/Diafiltration Line with sight glass, elbow, and tee connected to valve A.NOTE: Keep valve A connected to the tank.The Retentate Line with sight glass and tee connected to valve C.NOTE: Keep valve C connected to the tank.The Recovery and Feed Lines including the reducer and tee connected to the valve B tank outlet.NOTE: This will include disconnecting valve D.</t>
  </si>
  <si>
    <t>Endcap Valves A, B, C</t>
  </si>
  <si>
    <t>Place end caps on valves A, B, and C.The Retentate Vessel should be in the configuration per the diagram below.</t>
  </si>
  <si>
    <t>Weigh Retentate Vessel After Recovery</t>
  </si>
  <si>
    <t>Obtain a gross weight of the Retentate Vessel, with no attachments, after Recovery.Ensure that the retentate vessel is the same configuration as inStep 16.17.If necessary, remove the Retentate Vessel from the scale and tare (zero) the scale again before obtaining the gross weight.Record the scale/balance equipment ID and calibration due date. | Gross Weight of Retentate Vessel after Recovery (no attachments) | Scale/Balance ID and Cal Due Date</t>
  </si>
  <si>
    <t>Obtain &amp; Label Dilution Vessel (PFI Bag)</t>
  </si>
  <si>
    <t>Obtain a mixing bag for the transfer of the Pre-Formulated Intermediate (PFI) product.Record the part number, batch number, and expiration date for the bag.Ensure the vessel is labeled with “AZD0543”, “Pre-Formulated Intermediate Dilution Vessel”, batch number, 8012475, and initials/date. | Dilution Vessel Info | Part No | Batch No | Exp. Date | SAP Consumption Performed by/Date</t>
  </si>
  <si>
    <t>Record Dilution Vessel Tare Weight</t>
  </si>
  <si>
    <t>Obtain the tare weight for the Dilution Vessel.Record the equipment ID and calibration due date for the scale and the tare weight of the bag.Check if the Mixer Drive is attached when the tare weight is obtained. | Scale/Balance ID | Scale/Balance Calibration Due Date</t>
  </si>
  <si>
    <t>Tare Weight of Dilution Vessel before attachment | Mixer Drive attached at Tare Weight?(check one)</t>
  </si>
  <si>
    <t>Obtain Transfer Tubing to Dilution Vessel</t>
  </si>
  <si>
    <t>Obtain tubing/hose(s) for the transfer of the product to the Dilution Vessel.Record the tubing part number, batch number, expiration date, autoclave cycle number, and autoclave expiration date.Record the hose cleaning cycle number and expiration date, if applicable. | Tubing Info, if applicable | Part No. | Batch No. | Exp. Date | Autoclave Cycle No. * | Autoclave Exp. Date * | Hose Info, if applicable | Hose Cleaning Cycle No. | Hose Cleaning Exp. Date | * Autoclave information is not required if tubing is gamma irradiated.</t>
  </si>
  <si>
    <t>If the transfer line is tubing, thread the tubing through the peristaltic pump following SOP-0080839.</t>
  </si>
  <si>
    <t>Turn Off Agitator</t>
  </si>
  <si>
    <t>Turn off the agitator on the Retentate Vessel.</t>
  </si>
  <si>
    <t>Connect Retentate to Dilution Vessel</t>
  </si>
  <si>
    <t>Connect the Recovery line from the outlet of Retentate Vessel elbow to the inlet of the Dilution Vessel. NOTE:  Ensure the Dilution Vessel bottom outlet clamp is closed and clamped as close to the bag as possible.</t>
  </si>
  <si>
    <t>Transfer Product to Dilution Vessel</t>
  </si>
  <si>
    <t>Once the Dilution Vessel is connected to the outlet of the Retentate Vessel, open the outlet of the Retentate Vessel at valve B.Pump the entire contents of the Retentate Vessel into the Dilution Vessel and record the end time of transfer below. | Transfer End Time</t>
  </si>
  <si>
    <t>Mix Product ≥20 min</t>
  </si>
  <si>
    <t>Begin to mix the product by agitation per SOP-0107097. Ensure the agitation is set to mix the product while minimize foaming. Mix for at least 20 minutes. Once a steady agitation rate has been achieved, record the mixer ID, agitation setting, mixing start time, mixing end time and the mixing duration below. | Mixer ID | Agitation Setting | Mixing Start Time | Mixing End Time | Mixing Duration (≥20 mins)</t>
  </si>
  <si>
    <t>Collect STAT Sample (-20)</t>
  </si>
  <si>
    <t>Remove product from the Dilution Vessel via a sample port for STAT protein determination (-20) per Attachment 3: Sampling Record. Follow procedures in SOP-0107097. | Sampling Date and Time</t>
  </si>
  <si>
    <t>Aliquot STAT Sample (-20)</t>
  </si>
  <si>
    <t>Aliquot the sample (sample designation: 8012475-20) per Attachment 3: Sampling Record. If applicable, aliquot non-routine samples per Attachment 4: Non-Routine Sampling Record.Label the sample with 8012475-20, per SOP-0107056.</t>
  </si>
  <si>
    <t>Submit STAT Sample (-20) to DLIMS</t>
  </si>
  <si>
    <t>Submit 8012475-20 according to SOP-0080295.Ensure the sampling time and location are updated in DLIMS.</t>
  </si>
  <si>
    <t>Remove Transfer Tubing from Dilution Vessel</t>
  </si>
  <si>
    <t>Remove from the Dilution Vessel the tubing/hosing that was used for transfer.NOTE: Ensure the vessel is in the same configuration as it was when the tare weight before attachment was obtained in Step 16.20.</t>
  </si>
  <si>
    <t>Record Dilution Vessel Gross Weight After Transfer</t>
  </si>
  <si>
    <t>Record the gross weight of the Dilution Vessel after transfer.Record the floor scale/balance ID number and calibration due date. | Gross weight of the Dilution Vessel | Scale/Balance ID | Scale/Balance Calibration Due Date</t>
  </si>
  <si>
    <t>Calculate Recovery Product Net Weight</t>
  </si>
  <si>
    <t>Calculate the net weight of the Recovery Product after transfer. | Gross weight of the Dilution Vessel (Step 16.31) | kg</t>
  </si>
  <si>
    <t>Record Recovery Protein Conc &amp; PFI Check</t>
  </si>
  <si>
    <t>Record the protein concentration and DLIMS Project and Sample ID of the Recovery Product (8012475-20).Based on the 8012475-20 concentration result, indicate below if the product is within the Pre-Formulated Intermediate (PFI) concentration range of 171 – 189 g/L or if it requires dilution. | Concentration of the Recovery Product | DLIMS Project ID | DLIMS Sample ID | Check One</t>
  </si>
  <si>
    <t>Calculate Total Grams in Retentate Vessel</t>
  </si>
  <si>
    <t>Calculate the total grams of product in the Retentate Vessel. | Volume of Recovery Product after Transfer(Step 16.33) | L</t>
  </si>
  <si>
    <t>Calculate Dilution Product Volume Range</t>
  </si>
  <si>
    <t>Calculate the AZD0543 Dilution Product Volume Range. | Total grams of the Recovery Product(Step 17.1) | g</t>
  </si>
  <si>
    <t>Calculate Dilution Product Net Weight Range</t>
  </si>
  <si>
    <t>Calculate the AZD0543 Dilution Product Net Weight Range. | AZD0543 Dilution Product Volume Range(Step 17.2) | L (Min) | L (Target) | L (Max)</t>
  </si>
  <si>
    <t>Calculate Dilution Buffer Weight to Add</t>
  </si>
  <si>
    <t>Calculate the weight of Dilution Buffer to Add. | AZD0543 PFI Net Weight Range(Step 17.3) | kg (Min) | kg (Target) | kg (Max) | Convert the Weight of Dilution Buffer to Add to volume. | Weight of Dilution Buffer to Add(Step 17.4) | kg (Min) | kg (Target) | kg (Max)</t>
  </si>
  <si>
    <t>Select Dilution Buffer Transfer Method</t>
  </si>
  <si>
    <t>Check the box for the method for how the dilution buffer will be transferred. | Check One</t>
  </si>
  <si>
    <t>Obtain Intermediate Vessel for Dilution Buffer</t>
  </si>
  <si>
    <t>Obtain a vessel for the transfer of the dilution buffer. Label the vessel as “Intermediate Vessel”, and initial and date.NOTE:  N/A any unused spaces. | Carboy | Grad. Cylinder | Bottle | Sterile Pipette | Sterile Pipette | Tubing | SAP Consumption Performed By/Date</t>
  </si>
  <si>
    <t>Select Addition Method</t>
  </si>
  <si>
    <t>Check the box for the method of addition.If adding using a pump, record the pump ID, if applicable. | Pump ID, if applicable | Measurement Method(range reference listed)</t>
  </si>
  <si>
    <t>Transfer Dilution Buffer to Intermediate Vessel</t>
  </si>
  <si>
    <t>Transfer the  dilution buffer (8012555) to the Intermediate vessel.</t>
  </si>
  <si>
    <t>Connect Pump/Tubing for Dilution Transfer</t>
  </si>
  <si>
    <t>If transferring using a pump, connect either the dilution buffer (8012555) or the Intermediate Vessel to the inlet of the PFI Dilution vessel.Thread tubing through a peristaltic pump.Prime the tubing.Otherwise, mark this step as “NA.” | Tubing Information | Part Number | Batch Number | Expiration Date | Autoclave Cycle Number * | Autoclave Exp. Date * | * Autoclave information is not required if tubing is gamma irradiated.</t>
  </si>
  <si>
    <t>Tare (zero) the scale holding the Dilution Vessel.</t>
  </si>
  <si>
    <t>Add Dilution Buffer to Target Weight</t>
  </si>
  <si>
    <t>Add dilution buffer to the Dilution Vessel until the target Weight of Dilution Buffer to Add (Step 17.4) is reached.Once target weight is reached, turn off the transfer pump.Record weight after dilution. | Net Weight of dilution buffer 8012555 added | Scale/Balance ID | Cal. Due Date | SAP Consumption of 8012555 Performed by/Date</t>
  </si>
  <si>
    <t>Disconnect Buffer — Record Gross Weight</t>
  </si>
  <si>
    <t>Disconnect the buffer line from the Dilution Vessel, if applicable.Remove the dilution vessel from the scale and tare (zero) the scale.Obtain the gross weight of the Dilution Vessel after dilution.  NOTE:  Ensure the Dilution Vessel is in the same configuration as it was when its tare weight was obtained in Step 16.20. | Gross weight of Dilution Vessel, with attachments removed | Scale/Balance ID | Calibration Due Date</t>
  </si>
  <si>
    <t>Calculate PFI Net Weight</t>
  </si>
  <si>
    <t>Calculate the net weight of PFI. | Gross weight of Dilution Vessel, with attachments removed(Step 17.13) | kg</t>
  </si>
  <si>
    <t>PFI Weight Check — Contact Supervisor if OOR</t>
  </si>
  <si>
    <t>If the PFI Net Weight is above the max net weight range calculated inStep 17.3,contact a supervisor and document actions taken in Attachment 9: Comments Section.Otherwise, mark this step as “NA”. | Supervisor Contacted</t>
  </si>
  <si>
    <t>Calculate PFI Volume After Dilution</t>
  </si>
  <si>
    <t>Calculate the volume of PFI after dilution and before sampling. | PFI Net Weight(Step 17.14) | kg</t>
  </si>
  <si>
    <t>Begin to mix the product per SOP-0107097 by agitation. If product is mixed by recirculation, complete Attachment 7: Product Recirculation Work Sheet.  Mix the product for at least 20 minutes by agitation. Adjust agitation setting to minimize foaming, as applicable.NOTE:  Agitation may already be on. | Mixer/Stir Plate ID, if applicable | Agitation Setting | Mixing Start Time | Mixing End Time | Duration of Mixing (≥ 20 minutes)</t>
  </si>
  <si>
    <t>Select Sampling Option</t>
  </si>
  <si>
    <t>Select one of the options below. | Check One</t>
  </si>
  <si>
    <t>Collect PFI Sample (-30)</t>
  </si>
  <si>
    <t>Remove product from the product collection vessel for (-30) samples per Attachment 3: Sampling Record.  Sample per SOP-0107097.NOTE: Ensure the sample line is flushed prior to taking the sample. | Sampling Time and Date</t>
  </si>
  <si>
    <t>Aliquot PFI Sample (-30)</t>
  </si>
  <si>
    <t>Aliquot the sample (sample designation: 8012475-30) per Attachment 3: Sampling RecordIf applicable, aliquot non-routine samples per Attachment 4: Non-Routine Sampling Record.Label the sample per SOP-0107056</t>
  </si>
  <si>
    <t>Submit the sample in DLIMS per SOP-0080295.Ensure the sampling time and location are updated in DLIMS.</t>
  </si>
  <si>
    <t>Record PFI Concentration Result (-30)</t>
  </si>
  <si>
    <t>Record the results from sample designation, 8012475–30.  If the results are not in range, contact supervisor and document actions taken in Attachment 9: Comments Section. | PFI concentration(171 – 189 g/L)</t>
  </si>
  <si>
    <t>Confirm PFI In Range — Mix ≥15 min</t>
  </si>
  <si>
    <t>Once the Pre-Formulated Intermediate has confirmed to be in range, begin to mix the product per SOP-0107097 by agitation.  If using a stir plate, record the equipment ID for the stir plate used.NOTE:  Agitation may already be on. | Mixer/Stir Plate ID | Agitation Setting | Mixing Start Time | Mixing End Time | Mixing Duration (≥ 15 minutes)</t>
  </si>
  <si>
    <t>Collect PFI Sample (-40)</t>
  </si>
  <si>
    <t>Remove product from the product collection vessel for (-40) samples per Attachment 3: Sampling Record. Follow procedures in SOP-0107097 for mixing bags. | Sampling Time and Date</t>
  </si>
  <si>
    <t>Aliquot PFI Sample (-40)</t>
  </si>
  <si>
    <t>Aliquot the sample (sample designation:  8012475-40) per Attachment 3: Sampling Record.If applicable, aliquot non-routine samples per Attachment 4: Non-Routine Sampling Record.</t>
  </si>
  <si>
    <t>Label &amp; Submit Sample (-40) to DLIMS</t>
  </si>
  <si>
    <t>Label with 8012475 and additional information per SOP-0107056Submit the sample in DLIMS per SOP-0080295.NOTE: Ensure the sampling time and location are updated in DLIMS.</t>
  </si>
  <si>
    <t>Record Dilution Vessel Gross Weight After Sampling</t>
  </si>
  <si>
    <t>Record the gross weight of the Dilution Vessel after sampling.NOTE: Ensure the vessel is in the same configuration as it was when the tare weight was obtained in Step 16.20. | Dilution Vessel Gross Weight after sampling</t>
  </si>
  <si>
    <t>Calculate PFI Net Weight After Sampling</t>
  </si>
  <si>
    <t>Calculate the net weight of the Pre-Formulated Intermediate (PFI) after sampling. | Dilution Vessel Gross Weight after sampling(Step 17.30) | kg</t>
  </si>
  <si>
    <t>Calculate PFI Volume After Sampling</t>
  </si>
  <si>
    <t>Calculate the volume of the PFI after sampling. | PFI Net Weight after sampling(Step 17.31) | kg</t>
  </si>
  <si>
    <t>Record PFI Storage Vessel Tare Weight</t>
  </si>
  <si>
    <t>Obtain a tare weight of the PFI storage vessel.Record the equipment ID and calibration due date for the scale. | Scale/Balance ID | Scale/Balance Calibration Due Date</t>
  </si>
  <si>
    <t>Tare Weight of Storage Vessel</t>
  </si>
  <si>
    <t>Obtain Transfer Tubing to Storage Vessel</t>
  </si>
  <si>
    <t>Obtain tubing/hose(s) for the transfer of the product to the storage vessel.Record the tubing part number, batch number, expiration date, autoclave cycle number, and autoclave expiration date.Record the hose cleaning cycle number and expiration date, if applicable. | Tubing Information, if applicable | Part No. | Batch No. | Exp. Date | Autoclave Cycle No. * | Autoclave Exp. Date * | Hose Information, if applicable | Hose Cleaning Cycle No. | Hose Cleaning Exp. Date | * Autoclave information is not required if tubing is gamma irradiated.</t>
  </si>
  <si>
    <t>Connect Filter &amp; Transfer PFI to Storage</t>
  </si>
  <si>
    <t>Attach the outlet of the PFI product filter to the inlet of the PFI storage vessel.Connect the transfer line between the outlet of the Dilution Vessel and the inlet of the PFI product filter.If the transfer line is tubing, thread the tubing through the peristaltic pump following SOP-0080839.Pump the entire contents of the Dilution Vessel into the PFI storage vessel and record the end time of transfer below. | Transfer End Time</t>
  </si>
  <si>
    <t>Drain Filter Hold-Up into Storage</t>
  </si>
  <si>
    <t>Drain the hold-up of the PFI product filter and transfer line into the PFI storage vessel.Remove the transfer tubing from the PFI storage vessel and remove the PFI product filter(s).</t>
  </si>
  <si>
    <t>Record PFI Storage Gross Weight After Transfer</t>
  </si>
  <si>
    <t>Obtain a gross weight of the PFI storage vessel after the transfer.Record the scale/balance equipment ID and calibration due date.NOTE:  Ensure the storage vessel is in the same configuration as when the tare weight was obtained in Step 18.2 | Gross Weight of PFI Storage Vessel after transfer | Scale/Balance ID | Scale/Balance Calibration Due Date</t>
  </si>
  <si>
    <t>Calculate PFI Net Weight After Transfer</t>
  </si>
  <si>
    <t>Calculate the net weight of the PFI after sampling and transfer | Gross Weight of PFI Storage Vessel after transfer (Step 18.7) | kg</t>
  </si>
  <si>
    <t>Calculate the volume of the PFI after sampling and transfer. | Net Weight of the PFI after sampling and transfer(Step 18.8) | kg</t>
  </si>
  <si>
    <t>Record PFI Weights on Storage Label</t>
  </si>
  <si>
    <t>Record the net weight of the PFI (Step 18.8), the tare weight of the PFI storage vessel (Step 18.2), and the gross weight of the PFI storage vessel after transfer (Step 18.7) on the storage vessel label.</t>
  </si>
  <si>
    <t>Store Product — Record Storage Info</t>
  </si>
  <si>
    <t>Store the product and document storage information below.  For product stored at 2 – 8°C, the storage start time is the time when the product is transferred into 2 – 8°C storage.For product stored at 15 – 25°C, the storage start time is the time when final sampling occurred in Step 17.24.Initial Storage Condition   2 – 8°C   15 – 25°CStorage Start Time</t>
  </si>
  <si>
    <t>Record Hold Time Info in Attachment 5</t>
  </si>
  <si>
    <t>Record the following values in Attachment 5: Hold Times. | MPR Name | Start Time/Date of Product Charge</t>
  </si>
  <si>
    <t>Set up per SOP-0107111 using one of the options below. For WFI collected directly from the WFI Hold Tank (TK-1458)Verify the SIP of the WFI Hold Tank was completed and the tank status is “Clean” and that the WFI port has been flushed per SOP-0080303.Mark the bag information as “N/A.”For WFI collected into a bag If the same WFI vessel from Step 8.1 is used:Transcribe from Step 8.1 the WFI Valve/Tank ID, WFI Charge Time/Date and WFI Expiration Date/Time below.N/A the bag information boxes and N/A the SAP consumption box.Record the WFI collection vessel information.Verify that the WFI port has been flushed per SOP-0080185. Charge into the vessel and record the WFI Charge Date/Time and Expiration. | Bag, if applicable | WFI Valve ID/Tank ID | WFI Charge Date/Time | WFI Expiration Date/Time *</t>
  </si>
  <si>
    <t>* The charged WFI Expiration Date/Time is 24 hours from...</t>
  </si>
  <si>
    <t>* The charged WFI Expiration Date/Time is 24 hours from the WFI Charge Date/Time. | SAP Consumption Performed by/Date</t>
  </si>
  <si>
    <t>Confirm Conductivity Meter Standardized</t>
  </si>
  <si>
    <t>Confirm that the conductivity meter has been standardized per SOP-0080297. | Meter ID</t>
  </si>
  <si>
    <t>Ensure UF System Setup per SOP</t>
  </si>
  <si>
    <t>Ensure that the Ultrafiltration (UF) system is set up according to SOP-0107111.</t>
  </si>
  <si>
    <t>On the UF/DF Skid HMI, enter the total cassette surface area in m2 (Step 7.2):Click on the membrane Area Setpoint input box.Enter surface area in m2 (Step 7.2) and press ENTER.Click ACCEPT on the Membrane Area Change pop-up window.</t>
  </si>
  <si>
    <t>Connect the WFI supply inlet to the UF/DF Skid feed line.Ensure that the retentate and permeate lines to the UF/DF Skid are directed to waste.</t>
  </si>
  <si>
    <t>Run DF1244_Flush (Post-Use WFI)</t>
  </si>
  <si>
    <t>Download and run DF1244_Flush according to SOP-0107111 to flush the UF/DF Skid with WFI.Record the batch ID and start time. The batch ID should follow this format:MPR Part Number_CleanWFI_Batch Number_Processing Date | Batch ID | Start Time</t>
  </si>
  <si>
    <t>At the user prompt, input the values per the table below. | Processing Step | Permeate Flush | Retentate Flush</t>
  </si>
  <si>
    <t>Start Post-Use WFI Flush Recipe</t>
  </si>
  <si>
    <t>Go to the Recipe Control screen on the UF/DF Skid HMI, and push START to initiate the post-use WFI flush.</t>
  </si>
  <si>
    <t>Recipe Complete — Continue to Next Section</t>
  </si>
  <si>
    <t>At the completion of the recipe, the status changes from “Running” to “Complete” and the pump stops.Continue to Section 20.</t>
  </si>
  <si>
    <t>Post-Processing — Select Cassette Action</t>
  </si>
  <si>
    <t>Post-Processing Activities for the UF/DF SkidCheck which action will be taken for the cassettes. | Check One</t>
  </si>
  <si>
    <t>Record Post-Processing Logbook Data</t>
  </si>
  <si>
    <t>Verify the data for the UF/DF Skid to be used.From the logbook, record the logbook number, CIPDS batch number and date when the actions were documented below. | Logbook Number | CIPDS Batch Number | Action | Sanitization | NWP | Storage</t>
  </si>
  <si>
    <t>Record Sanitization/Storage Buffer Used</t>
  </si>
  <si>
    <t>Record the Sanitization and Storage Buffer Batch Number and amount used based on SOP-0107111 * Amount Used = Retentate Totalizer  + Permeate Totalizer volume | Step | Sanitization | Storage | SAP Consumption Performed by/Date</t>
  </si>
  <si>
    <t>Attach SIP/CIP/Pressure Test Reports</t>
  </si>
  <si>
    <t>If tanks were used, ensure that the SIP, CIP, and Pressure Test Reports for the product tank are attached to the MPR.</t>
  </si>
  <si>
    <t>Verify PFI Net Weight in SAP</t>
  </si>
  <si>
    <t>Verify that the PFI product net weight (from Step 18.8) is correctly inputted into SAP. | Review the Batch Production Record for completeness and submit for review.</t>
  </si>
  <si>
    <t>Tubing/Hose Information</t>
  </si>
  <si>
    <t>Tubing/Hose Information: Process tubing and hose tracking for Retentate Vessel connections. Serial numbers, cleaning expiration dates, autoclave cycle numbers.</t>
  </si>
  <si>
    <t>Sampling Record</t>
  </si>
  <si>
    <t>Sampling Record: Comprehensive sample tracking with DLIMS Projects, sample designations (-10/-20/-30/-40), test assignments (BIOBURDEN, SOLO_A280, ENDOTOXIN, OSMOLALITY).</t>
  </si>
  <si>
    <t>Non-Routine Sampling Record</t>
  </si>
  <si>
    <t>Non-Routine Sampling Record: Form for additional samples requested by memo. Includes pre-load confirmation, DLIMS project/sample numbers.</t>
  </si>
  <si>
    <t>Hold Times</t>
  </si>
  <si>
    <t>Hold Times: Track RT and 2-8°C storage periods for VF Product and PFI. Up to 3 hold periods with total duration calculations.</t>
  </si>
  <si>
    <t>Retentate Tank and DF-1244 Set-up</t>
  </si>
  <si>
    <t>Retentate Tank and DF-1244 Set-up: Diagram and checklist for TK-1927 setup with UF/DF skid connections, valve positions, sight glass placement.</t>
  </si>
  <si>
    <t>Comments Section</t>
  </si>
  <si>
    <t>Comments Section: 6-page form for documenting deviations, additional notes, supervisor contacts. Step number, initial and date required for each entry.</t>
  </si>
  <si>
    <t>Chromatography 1 Batch Record Analysis</t>
  </si>
  <si>
    <t>Batch ID: PN - 8011840</t>
  </si>
  <si>
    <t>Document Process Flowchart</t>
  </si>
  <si>
    <t>Process flowchart documenting the downstream process flow from Centrifuge Harvest (MABR-0026890 PN:8011847) through Affinity Chromatography to Virus Inactivation (MABR-0026892 PN:8011841). Includes buffer and solution flow paths.</t>
  </si>
  <si>
    <t>Solution Batch Recording</t>
  </si>
  <si>
    <t>Record batch numbers and expiration dates for all chromatography solutions: Equilibration 1 (50 mM Tris pH 7.4, 8003734), Load (8011847 CM), Wash 1 (8011862), Wash 2 (A-005097), Elution (8002814), Acid Strip (A-005041), NaOH Strip (A0014-D), Column Sanitization, Column Storage (8002256), Skid Sanitization (1.0N NaOH A0191-D), Skid Storage (0.1N NaOH). Day 1 and Day 2 batch/expiry tracking for each.</t>
  </si>
  <si>
    <t>Additional Solution Batch Recording</t>
  </si>
  <si>
    <t>Blank form for recording replacement solution batch information if a solution needs to be changed during processing. Requires Part No., Batch No., Process Order No., and Expiry Date. Document changes in Attachment 10.</t>
  </si>
  <si>
    <t>Process Notes and Operating Parameters</t>
  </si>
  <si>
    <t>15 process notes defining operating conditions: all activities at 15-27°C, calculation assumptions (1L=1kg), flowrate ranges for steady state, skid flush flowrates at 477 L/hr (exception: Elution flush matches elution flowrate), temporary flowrate excursions acceptable, material expiry verification, equipment calibration verification, PAUSE function behavior, manual command supervisor signature requirements, recirculation mixing alternatives, alert limit documentation requirements, and over-pressurization flow rate adjustment procedures.</t>
  </si>
  <si>
    <t>Harvest Tank Information Recording</t>
  </si>
  <si>
    <t>Record detailed harvest tank information: Tank ID, CIP Batch ID and Exp Date, SIP Batch ID and Exp Date, then tank parameters per SOP-0080524 including temperature setpoint (2-8°C or 15-25°C), pressure (0.0 psig), agitation speed. Record tare weight, mixer information, transfer panel port. Maximum CM hold time: 240 hours at 2-8°C including up to 120 hours at 15-25°C. Multi-table data recording with Day 1/Day 2 columns.</t>
  </si>
  <si>
    <t>Harvest Process Direction</t>
  </si>
  <si>
    <t>Verify with supervisor whether harvesting into Downstream or Cell Culture. Conditional: if harvesting into Cell Culture, N/A Sections 7, 8, 9 and Attachments 1, 2, 3 and continue to Section 10. If Downstream, continue to Step 7.2.</t>
  </si>
  <si>
    <t>Obtain and Verify Affinity Column</t>
  </si>
  <si>
    <t>Obtain Ecolabs (Purolite) Jetted A50 column and CPDS (FORM-0064069). Verify packed for AZD3427. Label column. Record: Media Name, Column ID, Packing Lot No., Column Diameter (80 cm), Bed Height (16-22 cm). Calculate Column Bed Volume (CV) = π/4 × D² × H. Record column pressures from CPDS: Column Inlet Pressure and Column Differential Pressure (ΔP). Multi-field data entry with calculations.</t>
  </si>
  <si>
    <t>Harvest Tank Setup Verification</t>
  </si>
  <si>
    <t>Fill out harvest tank (Conditioned Medium collection tank) information in Step 7.3.</t>
  </si>
  <si>
    <t>Verify Skid Sanitization and Storage Status</t>
  </si>
  <si>
    <t>Verify from the skid's logbook that the chromatography SKID was both: sanitized with 1.0 N Sodium Hydroxide (A0191-D) and stored in A0014-D: 0.1 N Sodium Hydroxide. Day 1 and Day 2 verification with dual signatures.</t>
  </si>
  <si>
    <t>Obtain and Install Product Filters</t>
  </si>
  <si>
    <t>Obtain product filters per Section 4. Record filter information (Part No., Batch No., Exp Date, Serial No.) for up to 3 filters. If tank: record CIP and SIP Batch IDs. Day 1 setup.</t>
  </si>
  <si>
    <t>Obtain Sampler Components</t>
  </si>
  <si>
    <t>Record 5-Shot NovaSeptum Sampler cleaning cycle and expiry. Obtain and record: 1 Transfer Septum (4102085) or Transfer Unit (6002417), 1 Sampling Assembly 12x60mL (6002291), 3 NovaSeptum Bottle Applications 60mL (6002272). Multi-row material tracking table.</t>
  </si>
  <si>
    <t>Record Day 1 Total Filters Installed</t>
  </si>
  <si>
    <t>Record total number of filters installed for Day 1.</t>
  </si>
  <si>
    <t>Install Sampling on Harvest Tank</t>
  </si>
  <si>
    <t>Install the 5-Shot NovaSeptum sampler and bottle applications on the harvest tank per SOP-0107097. Signature required.</t>
  </si>
  <si>
    <t>Record Day 1 Depth Filter Parameters</t>
  </si>
  <si>
    <t>Record surface area (m²), hold-up volume (L), and minimum WFI flush volume (L) for Day 1.</t>
  </si>
  <si>
    <t>SAP Consumption Recording - Harvest Setup</t>
  </si>
  <si>
    <t>Record SAP consumption for materials used in Steps 7.3-7.5.</t>
  </si>
  <si>
    <t>Verify Skid Meter Standardization</t>
  </si>
  <si>
    <t>Verify chromatography skid pH meter user standardized per SOP-0080402. Verify conductivity and UV meters within calibration. Record standardization date. Day 1 and Day 2.</t>
  </si>
  <si>
    <t>pH/Conductivity Meter Verification</t>
  </si>
  <si>
    <t>Confirm pH and conductivity meter standardized per SOP-0080297. Record Meter ID.</t>
  </si>
  <si>
    <t>Connect Buffers to Skid - Day 1</t>
  </si>
  <si>
    <t>Connect 8 buffers to chromatography skid inlets: B4 (A0014-D NaOH Strip), B2 (A-005041 Acid Strip), A4 (8002814 Elution), B3 (A-005097 Wash 2), B1 (8011862 Wash 1), A3 (WFI), A1 (8003734 Equil 1/Load), A2 (8003734 Equil 2). Record Buffer Hold Tank IDs and Transfer Panel Valve IDs.</t>
  </si>
  <si>
    <t>Connect Harvest Transfer Lines</t>
  </si>
  <si>
    <t>Connect hose to A12 on TP-1216, connect to appropriate transfer panel port on TP-1224 for harvest tank. Include tee and bleed valve for safe bleeding.</t>
  </si>
  <si>
    <t>Connect Buffers to Skid - Day 2</t>
  </si>
  <si>
    <t>N/A if only 1 day. Repeat Day 1 buffer connections with Day 2 batch information. 8-inlet connection table.</t>
  </si>
  <si>
    <t>Verify Tank Flow Path</t>
  </si>
  <si>
    <t>Verify connection from A12 on TP-1216 leads to desired tank port on TP-1224.</t>
  </si>
  <si>
    <t>Record Chromatography Method Parameters</t>
  </si>
  <si>
    <t>Record WFI Flush Volume (≥ min from Step 15.9/15.20), Target Equil/Buffer Flush Volume, Buffer Priming Volume, Load Volume per cycle, Equilibration 2 Volume, and flowrates. Day 1 and Day 2 columns.</t>
  </si>
  <si>
    <t>Connect Product Waste Line</t>
  </si>
  <si>
    <t>Connect product waste to the bleed valve tee connection.</t>
  </si>
  <si>
    <t>Buffer Priming - All Sequences</t>
  </si>
  <si>
    <t>Execute 11 buffer priming sequences. For each: verify temperature 15-25°C, flush ≥15L, verify flow paths. Record pH, conductivity, temperature for each sequence. Sequences: B4(NaOH), B2(Acid), A4(Elution), B3(Wash2), A3(WFI-multiple), B1(Wash1), A1(Equil1), A2(Equil2). Multi-page table with 11+ entries and pH/conductivity/temp measurements per entry. Includes depth filter pod bleeding procedures.</t>
  </si>
  <si>
    <t>Perform Gas Pressure Test</t>
  </si>
  <si>
    <t>Perform pressure test per SOP-0107096. Record pass/fail.</t>
  </si>
  <si>
    <t>Enter User-Defined Variables</t>
  </si>
  <si>
    <t>Enter Load Volume per cycle and Equil 2 Volume into method. Day 1 and Day 2 values.</t>
  </si>
  <si>
    <t>Perform Visual Inspection of Harvest Tank</t>
  </si>
  <si>
    <t>Perform visual inspection of the harvest tank to ensure that the tank is empty prior to CM transfer.</t>
  </si>
  <si>
    <t>Skid Flush and Column Guard Purge</t>
  </si>
  <si>
    <t>At end of Skid Flush: open guard filter bleed, open column air bleed, ensure column inlet closed. Up to 8 cycles.</t>
  </si>
  <si>
    <t>Zero Harvest Tank Weight</t>
  </si>
  <si>
    <t>Once the harvest tank pressure has stabilized, zero the harvest tank weight. Ensure the harvest tank is registering weight changes.</t>
  </si>
  <si>
    <t>Equilibration 2 Execution</t>
  </si>
  <si>
    <t>Equil 2: 50 mM Tris pH 7.4 via A2, Downflow, 1005 L/hr, volume per Step 18.6. Up to 8 cycles.</t>
  </si>
  <si>
    <t>Record Tare Weight</t>
  </si>
  <si>
    <t>Record the tare weight in Step 7.3 harvest tank information table.</t>
  </si>
  <si>
    <t>Elution Execution and Product Collection</t>
  </si>
  <si>
    <t>Elution: 8002814 25mM Sodium Acetate pH 3.6 via A4, Downflow, 754 L/hr, 7 CV. Collection triggered at 0.2 AU (Outlet 4), ends at 0.2 AU (back to Outlet 1). Record net weight/volume and end time per cycle from Totalizer B. Up to 8 cycles. Final CM storage end time.</t>
  </si>
  <si>
    <t>Pre-Transfer Communication</t>
  </si>
  <si>
    <t>Ensure open line of communication with Cell Culture before and during CM transfer.</t>
  </si>
  <si>
    <t>Record Gross Weight After Processing</t>
  </si>
  <si>
    <t>Record gross weight of Filtered Affinity Product after all cycles. Calculate cumulative product weight.</t>
  </si>
  <si>
    <t>Open Transfer Valve</t>
  </si>
  <si>
    <t>Open manual valve on A12 on TP-1216.</t>
  </si>
  <si>
    <t>Verify NaOH Strip Conductivity</t>
  </si>
  <si>
    <t>Collect column effluent near end of NaOH Strip. Verify conductivity 19-27 mS/cm and temperature 15-25°C using offline meter. Contact supervisor if conductivity not within specification. Record for up to 4 cycles.</t>
  </si>
  <si>
    <t>Set Harvest Tank Pressure</t>
  </si>
  <si>
    <t>Set pressure in harvest tank to 0.0 psig / SEMI-AUTO Mode. Set STATE to CONTROL.</t>
  </si>
  <si>
    <t>Sanitization Hold - Start</t>
  </si>
  <si>
    <t>At completion of NaOH Strip for final cycle, hold column for target 35 minutes (NOR: 30-120 min). Record Sanitization HOLD Start Time for Day 1 FINAL Cycle and Day 2 FINAL Cycle (if applicable).</t>
  </si>
  <si>
    <t>Obtain CM Transfer Estimate</t>
  </si>
  <si>
    <t>Obtain from Cell Culture the estimated amount of CM to be transferred.</t>
  </si>
  <si>
    <t>Calculate Expected Sanitization Hold End Time</t>
  </si>
  <si>
    <t>Calculate expected Sanitization HOLD End Time: Start Time + target 35 min. Record for Day 1 and Day 2. NOR for column sanitization hold is 30-120 minutes.</t>
  </si>
  <si>
    <t>Transfer CM and Record Parameters</t>
  </si>
  <si>
    <t>Transfer CM from Cell Culture to harvest tank. Bleed line to product waste, close bleed valve, initiate transfer. Record start time, end time, and amount transferred. Set tank parameters per SOP-0080524 including hold time tracking in Attachment 2.</t>
  </si>
  <si>
    <t>Record Line Chase Volume</t>
  </si>
  <si>
    <t>Record the line chase volume to be used.</t>
  </si>
  <si>
    <t>Set Harvest Tank Alarms</t>
  </si>
  <si>
    <t>Set and enable harvest tank alarms: High Agitation 25.0, Low Agitation 15.0, High Temperature per SOP, Low Temperature per SOP, High Pressure per SOP, Low Pressure per SOP. Record alarm setpoints table.</t>
  </si>
  <si>
    <t>Record Pre-Sampling Product Weight</t>
  </si>
  <si>
    <t>Record gross weight and calculate net weight of Filtered Affinity Product before sampling. Net Weight = Gross - Tare.</t>
  </si>
  <si>
    <t>Record CM Storage Parameters</t>
  </si>
  <si>
    <t>Record CM storage start time in Attachment 2. Select storage condition matching temperature setpoint. Maximum cumulative hold at 2-8°C is 240 hours including up to 120 hours at 15-25°C.</t>
  </si>
  <si>
    <t>Attachment 1: Conditioned Medium Sample Submission Chart</t>
  </si>
  <si>
    <t>Sample submission chart for CM (8011847-10) with 10+ samples: PROT_A_BIN (10mL), CHO_SYBR (10mL), EL_CHO_GEN (10mL), RED_RP_HPLC_FC_PEP (1mL), and retains. Each requires DLIMS Project Number, sample number, preload signature, tube type (PP3/PET), volume, test code. Labels per SOP-0107056. Includes nomenclature reference table.</t>
  </si>
  <si>
    <t>Set/Verify Harvest Tank Parameters and Hold Time</t>
  </si>
  <si>
    <t>Set and/or verify harvest tank parameters per SOP-0080524. Maximum cumulative hold time of CM at 2-8°C is 240 hours including up to 120 hours at 15-25°C. Record CM storage start time in Attachment 2: Post-Harvest CM Hold Time Table. Select storage condition matching temperature setpoint.</t>
  </si>
  <si>
    <t>Attachment 2: Post-Harvest CM Hold Time Table</t>
  </si>
  <si>
    <t>Multi-row hold time tracking table with columns: Hold #, Location (TK-xxxx), Temperature (RT or 2-8°C checkboxes), CM Storage Start time/date, CM Storage End time/date, Duration, Performed/Verified signatures. Up to 10 holds tracked. Calculate total storage duration at each temperature and combined total. Maximum hold: 240 hrs at 2-8°C including up to 120 hrs at 15-25°C.</t>
  </si>
  <si>
    <t>Set and Enable Harvest Tank Alarms</t>
  </si>
  <si>
    <t>Set and enable harvest tank alarms per SOP-0080524: High Agitation (25.0), Low Agitation (15.0), High Temperature, Low Temperature, High Pressure, Low Pressure. Record setpoints in alarm table.</t>
  </si>
  <si>
    <t>Attachment 3: Post-Storage CM Sampling Submission Chart</t>
  </si>
  <si>
    <t>Sample submission chart for post-storage CM (8011847-20). DLIMS test codes, volumes, tube types, storage temperatures. Dev Samples Green Form template. Includes preload signature and DLIMS project number tracking.</t>
  </si>
  <si>
    <t>Record Harvest Tank Gross and Net Weight</t>
  </si>
  <si>
    <t>After tank pressure and weight have stabilized, obtain gross and net weight of harvest tank. Net Weight = Gross Weight - Tare Weight (Step 7.3). Record scale/balance ID.</t>
  </si>
  <si>
    <t>Attachment 4: Sample Plan</t>
  </si>
  <si>
    <t>Comprehensive 2-page sample plan for Affinity Chromatography (8011840). Column effluent samples (-20 series) and product quality samples (-30 series). Lists DLIMS test names, volumes, locations, tube types, intermediate and DLIMS storage temperatures. Includes SOLO_A280 testing instructions. Development DLIMS Green Form template. STAT submissions in bold.</t>
  </si>
  <si>
    <t>Agitate CM for Sampling</t>
  </si>
  <si>
    <t>Agitate CM for minimum 15 minutes prior to sampling. Record Mixer ID, Agitation Speed, Mix Start Time, Mix End Time. Do not turn off agitation after sampling.</t>
  </si>
  <si>
    <t>Attachment 8: Adjusted Flowrate Table</t>
  </si>
  <si>
    <t>3-page table for recording any adjusted flowrates during processing. Fields: Step Number, Cycle Number, Adjusted Flow Rate (L/hr), Reason for Change, Performed/Witnessed signatures. 10 rows per page, 3 pages = 30 possible entries.</t>
  </si>
  <si>
    <t>Collect CM Samples</t>
  </si>
  <si>
    <t>Collect samples per SOP-0107097. Record sampling date/time, gross weight, tare weight, net weight. Sample designation 8011847-10.</t>
  </si>
  <si>
    <t>Label CM Samples</t>
  </si>
  <si>
    <t>Label each sample container per SOP-0107056 and Attachment 1: CM Sample Submission Chart (8011847-10). Attach DLIMS label.</t>
  </si>
  <si>
    <t>Verify DLIMS Submission</t>
  </si>
  <si>
    <t>Verify samples logged into DLIMS per SOP-0080295. Contact AS group for STAT HPLC Protein A Bindable sample (PROT_A_BIN).</t>
  </si>
  <si>
    <t>Submit Samples to AS</t>
  </si>
  <si>
    <t>Submit all samples (8011847-10) to AS per SOP-0080295. Enter sampling date/time in DLIMS. Ensure container types match DLIMS.</t>
  </si>
  <si>
    <t>Obtain Offline CM Measurements</t>
  </si>
  <si>
    <t>Obtain offline measurements of CM pH and Conductivity using calibrated meter.</t>
  </si>
  <si>
    <t>Record CM Weight After Sampling</t>
  </si>
  <si>
    <t>Record gross weight and net weight of CM after sampling. Calculate net weight = gross - tare.</t>
  </si>
  <si>
    <t>Verify Hold Time Compliance</t>
  </si>
  <si>
    <t>Verify CM storage within allowed hold time. Record in Attachment 2.</t>
  </si>
  <si>
    <t>Record CM Weight After 8011847-10 Sampling</t>
  </si>
  <si>
    <t>Obtain gross and net weight of CM in harvest tank after 8011847-10 sampling. Record Gross Weight, calculate Net Weight = Gross Weight - Tare Weight (Step 7.3). Record Scale/Tank ID.</t>
  </si>
  <si>
    <t>Record room where Affinity Chromatography will occur. Day 1 and Day 2.</t>
  </si>
  <si>
    <t>pH/Conductivity Meter Standardization</t>
  </si>
  <si>
    <t>Confirm pH and conductivity meter standardized per SOP-0080297. Record Meter ID for Day 1 and Day 2.</t>
  </si>
  <si>
    <t>Temperature Probe Verification</t>
  </si>
  <si>
    <t>Verify thermometer is within calibration interval per SOP-0107117. Record Thermometer ID for Day 1 and Day 2.</t>
  </si>
  <si>
    <t>Verify Equipment Calibration</t>
  </si>
  <si>
    <t>Verify balances and SoloVPE system within calibration per applicable SOPs. Record Equipment IDs for Day 1 and Day 2.</t>
  </si>
  <si>
    <t>Verify Data Logger and Process Trend</t>
  </si>
  <si>
    <t>Contact supervisor/designee and verify that the data logger is on. Verify the process trend for PK4000 is activated. Day 1 and Day 2. Then proceed: Day 1 processing continue to next step; Day 2 processing complete Steps 11.3 and 11.4 then continue to Step 12.17.</t>
  </si>
  <si>
    <t>Verify Column Sanitization/Storage Status</t>
  </si>
  <si>
    <t>Verify from logbook that column was sanitized with A0014-D (0.1N NaOH) and stored in 8002256 (2% Benzyl Alcohol, 100mM Sodium Acetate pH 5.0). Verify skid sanitized with A0191-D (1.0N NaOH) and stored in A0014-D (0.1N NaOH). Day 1 and Day 2 verification.</t>
  </si>
  <si>
    <t>Column Cycle Log</t>
  </si>
  <si>
    <t>Verify and record the column cycle number from the column logbook. Day 1 and Day 2. Dual signature required.</t>
  </si>
  <si>
    <t>Verify AZD3427_AFFINITY Method Wet Test</t>
  </si>
  <si>
    <t>Verify that the AZD3427_AFFINITY method on the chromatography skid has been Wet Tested and Ran-As Expected. Day 1 and Day 2 verification.</t>
  </si>
  <si>
    <t>Verify Harvest Direction for CM Samples</t>
  </si>
  <si>
    <t>Verify if harvest was performed in Cell Culture or Downstream per Step 7.1. Conditional routing: if CC takes post-storage samples, N/A 12.2-12.5; if DS, continue.</t>
  </si>
  <si>
    <t>Agitate CM for Post-Storage Sampling</t>
  </si>
  <si>
    <t>Agitate CM minimum 15 minutes. Record Mixer ID, Agitation Speed, Mix Start/End Time. Do not turn off agitation after sampling.</t>
  </si>
  <si>
    <t>Collect Post-Storage CM Samples</t>
  </si>
  <si>
    <t>Collect samples per SOP-0107097. Record sampling date/time, label per Attachment 3 (8011847-20).</t>
  </si>
  <si>
    <t>Submit Post-Storage Samples to DLIMS</t>
  </si>
  <si>
    <t>Verify DLIMS submission per SOP-0080295. Record project number and sample number in Attachment 3.</t>
  </si>
  <si>
    <t>Record CM Net Weight After Sampling</t>
  </si>
  <si>
    <t>Record gross weight, tare weight, calculate net weight of CM after post-storage sampling.</t>
  </si>
  <si>
    <t>Record CM Information for Calculations</t>
  </si>
  <si>
    <t>Record CM Net Weight/Volume (kg=L) and CM Protein Concentration Result (μg/mL=mg/L) from either upstream MPR or Attachment 1 PROT_A_BIN result. Record DLIMS Project Number. Day 1 and Day 2.</t>
  </si>
  <si>
    <t>Calculate Minimum Load</t>
  </si>
  <si>
    <t>Calculate: Column Bed Volume (CV) × 20 g/L/cycle = Minimum Load (g/cycle). Cross-reference to Step 11.1.</t>
  </si>
  <si>
    <t>Calculate Maximum Load</t>
  </si>
  <si>
    <t>Calculate: Column Bed Volume (CV) × 40 g/L/cycle = Maximum Load (g/cycle).</t>
  </si>
  <si>
    <t>Calculate Min/Max CM Load Volume</t>
  </si>
  <si>
    <t>Calculate minimum and maximum CM load volumes per cycle: Min Load ÷ CM Protein Concentration = Min CM Volume; Max Load ÷ CM Protein Concentration = Max CM Volume.</t>
  </si>
  <si>
    <t>Calculate Maximum CM Load Volume</t>
  </si>
  <si>
    <t>Calculate: Max Load (g/cycle) ÷ CM Protein Concentration (g/L) = Maximum CM Load Volume per cycle (L/cycle).</t>
  </si>
  <si>
    <t>Calculate Number of Chromatography Cycles</t>
  </si>
  <si>
    <t>Calculate: CM Net Weight/Volume ÷ Maximum CM Load Volume = Number of cycles. Round to next larger whole number.</t>
  </si>
  <si>
    <t>Record Total Number of Cycles Expected</t>
  </si>
  <si>
    <t>Record total cycles expected. Conditional: if &gt;4 cycles, 2 days required.</t>
  </si>
  <si>
    <t>Calculate Day 1 Load Volume Per Cycle</t>
  </si>
  <si>
    <t>Calculate: CM Net Weight ÷ Total Cycles = Day 1 Load Volume per cycle (L/cycle). Verify within min/max range from Step 12.9/12.10.</t>
  </si>
  <si>
    <t>Verify Load Volume Within Range</t>
  </si>
  <si>
    <t>Verify Day 1 Load volume is within Min/Max CM Load Volume ranges. If not, contact supervisor and document in Attachment 10.</t>
  </si>
  <si>
    <t>Determine Day 1 Number of Cycles</t>
  </si>
  <si>
    <t>Consult supervisor to determine expected number of cycles for Day 1. Record Day 1 cycle count.</t>
  </si>
  <si>
    <t>Day 2 Post-Storage CM Sampling</t>
  </si>
  <si>
    <t>Take Day 2 post-storage CM samples per Attachment 3. Record all sampling information in Attachment 10: DLIMS IDs, Mixer info, sample date/time, weights.</t>
  </si>
  <si>
    <t>Record Day 2 CM Net Weight</t>
  </si>
  <si>
    <t>Record net weight of CM on Day 2 after sampling.</t>
  </si>
  <si>
    <t>Calculate Day 2 Number of Cycles</t>
  </si>
  <si>
    <t>Calculate Day 2 cycles: Day 2 CM Net Weight ÷ Max CM Load Volume per cycle. Round up.</t>
  </si>
  <si>
    <t>Record Day 2 Total Cycles</t>
  </si>
  <si>
    <t>Record total number of cycles for Day 2.</t>
  </si>
  <si>
    <t>Calculate Day 2 Load Volume Per Cycle</t>
  </si>
  <si>
    <t>Calculate: Day 2 CM Net Weight ÷ Day 2 Total Cycles = Day 2 Load Volume per cycle.</t>
  </si>
  <si>
    <t>Verify Day 2 Load Volume Within Range</t>
  </si>
  <si>
    <t>Verify Day 2 Load volume within range calculated in Steps 12.9/12.10. Contact supervisor if out of range.</t>
  </si>
  <si>
    <t>Determine Day 2 Expected Cycles</t>
  </si>
  <si>
    <t>Consult supervisor for expected Day 2 cycles. Record number and supervisor contacted.</t>
  </si>
  <si>
    <t>Calculate CM SAP Consumption</t>
  </si>
  <si>
    <t>Perform SAP consumption for Conditioned Medium materials used. Record SAP transaction details.</t>
  </si>
  <si>
    <t>Record CM Transfer to Affinity</t>
  </si>
  <si>
    <t>Record the CM transfer start time for Affinity processing. Document in Attachment 2 if applicable.</t>
  </si>
  <si>
    <t>Verify CM Hold Time Compliance</t>
  </si>
  <si>
    <t>Verify that total CM hold time is within the maximum cumulative hold time of 240 hours at 2-8°C (including up to 120 hours at 15-25°C). Calculate total hold duration. Contact supervisor if approaching limit.</t>
  </si>
  <si>
    <t>Record Final CM Information for Processing</t>
  </si>
  <si>
    <t>Record final CM information prior to Affinity processing start: net weight/volume available, protein concentration, number of cycles planned, load volume per cycle. Cross-reference Steps 12.6, 12.13/12.20.</t>
  </si>
  <si>
    <t>Calculate Estimated VI Product Volume</t>
  </si>
  <si>
    <t>Calculate: CV × 2.3 CV/cycle × Total cycles = Estimated Viral Inactivation Product Volume (L).</t>
  </si>
  <si>
    <t>Obtain Filtered Product Collection Vessel</t>
  </si>
  <si>
    <t>Obtain appropriately sized vessel (tanks or MagMixer bags preferred). Label with AZD3427, Filtered Affinity Product, batch number, 8011840.</t>
  </si>
  <si>
    <t>Record Collection Vessel Information</t>
  </si>
  <si>
    <t>Record bag/tank information: Part No., Batch No., Exp. Date, Serial No. Record mixer drive, product filter, temperature probe attachment status. Record vessel tare weight. Multi-table complex form.</t>
  </si>
  <si>
    <t>Day 2 Product Filter Setup</t>
  </si>
  <si>
    <t>N/A if only 1 day needed. Obtain new product filters for Day 2, attach to collection vessel. Record filter information. If tank, document CIP/SIP of lines.</t>
  </si>
  <si>
    <t>WFI Source Setup</t>
  </si>
  <si>
    <t>Set up per SOP-0080402. If WFI from Hold Tank TK-1458: verify SIP complete, tank status 'Clean', WFI port flushed per SOP-0080303. If WFI from bag: record vessel info, verify port flushed per SOP-0080185. Record charge information. Day 1 and Day 2.</t>
  </si>
  <si>
    <t>Perform WFI Flush</t>
  </si>
  <si>
    <t>Perform WFI flush of chromatography skid per SOP-0080402. Record start time and batch ID in logbook. Day 1 and Day 2.</t>
  </si>
  <si>
    <t>Conditional Day Setup</t>
  </si>
  <si>
    <t>If Day 1, continue to next step. If Day 2, go to Step 15.13.</t>
  </si>
  <si>
    <t>Calculate Day 1 Total CM Load Volume</t>
  </si>
  <si>
    <t>Calculate: Day 1 Load volume/cycle × Day 1 Number of cycles = Day 1 estimated total CM load volume.</t>
  </si>
  <si>
    <t>Calculate Minimum Depth Filter Surface Area - Day 1</t>
  </si>
  <si>
    <t>Calculate: Day 1 Total CM Load Volume ÷ 370 L/m² = Minimum depth filter surface area. Multi-step calculation with lookup table.</t>
  </si>
  <si>
    <t>Determine Number of Depth Filters - Day 1</t>
  </si>
  <si>
    <t>Using calculated surface area, determine number of 1.1 m² Millistak+HC Pod X0HC filters needed. Record from SOP-0080613 Figure 4.</t>
  </si>
  <si>
    <t>Record Minimum Filter Count</t>
  </si>
  <si>
    <t>Record minimum number of depth filters to install for Day 1.</t>
  </si>
  <si>
    <t>Obtain and Record Depth Filters - Day 1</t>
  </si>
  <si>
    <t>Obtain Pod holder, adapter, depth filters, and two flex hoses. Record in Attachment 6. Verify installation per SOP-0080613. Record from FORM-0072006: total filters, Part No (4101860), Batch No., Exp Date for each, Pod Holder ID. Day 1 multi-table form.</t>
  </si>
  <si>
    <t>Connect Depth Filters to Skid - Day 1</t>
  </si>
  <si>
    <t>Drain guard filter housing per SOP-0080402, remove from skid. Connect Pod inlet to Guard Filter Inlet, outlet to Guard Filter Outlet. Record depth filter surface area, hold-up volume, and WFI flush volume from SOP-0080613 Figure 4.</t>
  </si>
  <si>
    <t>Calculate Day 1 Hold-Up Volume in CVs</t>
  </si>
  <si>
    <t>Calculate: Hold-Up Volume ÷ Column Bed Volume = Hold-Up CVs.</t>
  </si>
  <si>
    <t>Calculate Equilibration 2 Volume</t>
  </si>
  <si>
    <t>Calculate: 3 CV + Day 1 Hold-Up CVs = Day 1 Equilibration 2 processing volume (CVs). Round up to nearest 0.5 CV.</t>
  </si>
  <si>
    <t>Calculate Day 1 Minimum WFI Flush Volume</t>
  </si>
  <si>
    <t>Calculate minimum required WFI flush volume based on depth filter parameters.</t>
  </si>
  <si>
    <t>Calculate Day 2 Total CM Load Volume</t>
  </si>
  <si>
    <t>N/A if only 1 day. Calculate: Day 2 Load volume/cycle × Day 2 cycles = Day 2 total CM load volume.</t>
  </si>
  <si>
    <t>Calculate Min Depth Filter Surface Area - Day 2</t>
  </si>
  <si>
    <t>Calculate: Day 2 Total CM Load Volume ÷ 370 L/m² = Min surface area.</t>
  </si>
  <si>
    <t>Determine Number of Depth Filters - Day 2</t>
  </si>
  <si>
    <t>Determine filter count needed for Day 2 from SOP-0080613.</t>
  </si>
  <si>
    <t>Record Day 2 Minimum Filter Count</t>
  </si>
  <si>
    <t>Record minimum number of filters for Day 2.</t>
  </si>
  <si>
    <t>Obtain and Record Depth Filters - Day 2</t>
  </si>
  <si>
    <t>Repeat of Day 1 filter procurement (Step 15.6) for Day 2. Full material tracking for Pod holder, adapter, depth filters. FORM-0072006 documentation.</t>
  </si>
  <si>
    <t>Record Day 2 Total Filters Installed</t>
  </si>
  <si>
    <t>Record total number of filters installed for Day 2.</t>
  </si>
  <si>
    <t>Connect Depth Filters to Skid - Day 2</t>
  </si>
  <si>
    <t>Repeat of Day 1 connection procedure for Day 2. Record depth filter surface area, hold-up volume, WFI flush volume.</t>
  </si>
  <si>
    <t>Record Day 2 Depth Filter Parameters</t>
  </si>
  <si>
    <t>Record surface area (m²), hold-up volume (L), and minimum WFI flush volume (L) for Day 2.</t>
  </si>
  <si>
    <t>Calculate Day 2 Hold-Up Volume in CVs</t>
  </si>
  <si>
    <t>Calculate: Day 2 Hold-Up Volume ÷ Column Bed Volume = Day 2 Hold-Up CVs.</t>
  </si>
  <si>
    <t>Calculate Day 2 Equilibration 2 Volume</t>
  </si>
  <si>
    <t>Calculate: 3 CV + Day 2 Hold-Up CVs = Day 2 Equilibration 2 processing volume. Round up to nearest 0.5 CV.</t>
  </si>
  <si>
    <t>Calculate Day 2 Minimum WFI Flush Volume</t>
  </si>
  <si>
    <t>Calculate minimum required WFI flush volume for Day 2.</t>
  </si>
  <si>
    <t>Initiate Buffer Transfer Phases</t>
  </si>
  <si>
    <t>Initiate transfer phase on PCS HMI for all buffers coming through transfer panel. Day 1 and Day 2.</t>
  </si>
  <si>
    <t>Download Priming Method</t>
  </si>
  <si>
    <t>Select and download AZD3427_AFFINITY_PRIMING method on chromatography skid per SOP-0080402. Day 1 and Day 2.</t>
  </si>
  <si>
    <t>Start Priming Method</t>
  </si>
  <si>
    <t>Start AZD3427_AFFINITY_PRIMING per SOP-0080402. Record start time and batch ID in logbook. Verify flow paths correct. Day 1 and Day 2.</t>
  </si>
  <si>
    <t>WFI Flush Execution</t>
  </si>
  <si>
    <t>Execute WFI flush of depth filters per SOP-0080402 and SOP-0080613. Verify flush volume ≥ minimum (Step 16.6) and flowrate meets specification. Day 1 and Day 2.</t>
  </si>
  <si>
    <t>Obtain and Install Column Guard Filter</t>
  </si>
  <si>
    <t>Obtain guard filter per Section 4. Record Part No., Batch No., Exp Date, Serial No. Connect inlet to column top position, outlet to flex hose to Affinity column inlet (Step 11.1), column outlet to column bottom position. Day 1 and Day 2 filter tracking.</t>
  </si>
  <si>
    <t>Verify Collection Vessel Connected</t>
  </si>
  <si>
    <t>Ensure Filtered Product Collection Vessel (Step 13.4) connected to skid via Outlet 4. Day 1 First Cycle and Day 2 First Cycle.</t>
  </si>
  <si>
    <t>Connect Column and Load Material</t>
  </si>
  <si>
    <t>Connect Affinity column to skid per SOP-0080402. Ensure CM (8011847) on Inlet A1, Outlet 1 to process waste. Day 1 and Day 2 First Cycle.</t>
  </si>
  <si>
    <t>Download Affinity Method</t>
  </si>
  <si>
    <t>Select and download AZD3427_AFFINITY method per SOP-0080402. Repeat for each cycle (up to 8 cycles). Multi-cycle signature table.</t>
  </si>
  <si>
    <t>Review Affinity Method Overview</t>
  </si>
  <si>
    <t>Review AZD3427_AFFINITY method steps: Equil 1 (3 CV), Load (variable), Equil 2 (variable), Skid Flush Equil, Wash 1 (8 CV), Skid Flush Wash 1, Wash 2 (7 CV), Skid Flush Wash 2, Skid Flush Elution, Elution (7 CV at 0.2 AU trigger), Acid Strip (5 CV), Skid Flush Acid Strip, Equil 3 (3 CV), NaOH Strip (3 CV), Skid Flush NaOH Strip.</t>
  </si>
  <si>
    <t>Start Affinity Method</t>
  </si>
  <si>
    <t>Start AZD3427_AFFINITY per SOP-0080402. Record start time, batch ID. Record for up to 8 cycles. Monitor for over-pressurization. Verify flow paths.</t>
  </si>
  <si>
    <t>Equilibration 1 Execution</t>
  </si>
  <si>
    <t>Equil 1: 50 mM Tris pH 7.4 via A2, Downflow, 1005 L/hr, 3 CV. UV Autozero at 2 CV. Take column effluent at 2.5 CV per Step 18.13. Up to 8 cycles.</t>
  </si>
  <si>
    <t>Skid Flush Equilibration</t>
  </si>
  <si>
    <t>Skid Flush Equil: 50 mM Tris pH 7.4, A2, Bypass, 477 L/hr, 15L. Up to 8 cycles.</t>
  </si>
  <si>
    <t>Wash 1 Execution</t>
  </si>
  <si>
    <t>Wash 1: 8011862 150mM Sodium Acetate/650mM Histidine pH 5.0 via B1, Downflow, 1005 L/hr, 8 CV. Up to 8 cycles.</t>
  </si>
  <si>
    <t>Skid Flush Wash 1</t>
  </si>
  <si>
    <t>Skid Flush: A-005097 50mM Sodium Acetate pH 5.0 via B3, Bypass, 477 L/hr, 15L. Up to 8 cycles.</t>
  </si>
  <si>
    <t>Wash 2 Execution</t>
  </si>
  <si>
    <t>Wash 2: A-005097 50mM Sodium Acetate pH 5.0 via B3, Downflow, 1005 L/hr, 7 CV. Up to 8 cycles.</t>
  </si>
  <si>
    <t>Record Equilibration 1 Column Effluent</t>
  </si>
  <si>
    <t>Measure offline pH, conductivity, temperature of column effluent at ≥2.5 CV of Equil 1. pH specification: 7.0-7.8. Contact supervisor if out of spec. Record for up to 8 cycles in multi-cycle table.</t>
  </si>
  <si>
    <t>Skid Flush Wash 2</t>
  </si>
  <si>
    <t>Skid Flush: A-005097 via B3, Bypass, 477 L/hr, 15L. Up to 8 cycles.</t>
  </si>
  <si>
    <t>Load Execution</t>
  </si>
  <si>
    <t>Load CM (8011847) via A1, Downflow, 1005 L/hr, volume per Step 18.6. Record Load Start Time, Load End Time, Load Volume from totalizer for up to 8 cycles.</t>
  </si>
  <si>
    <t>Skid Flush Elution and Collection Setup</t>
  </si>
  <si>
    <t>Verify collection vessel open. Skid Flush Elution: 25mM Sodium Acetate pH 3.6 via A4, Bypass, 754 L/hr, 15L. Up to 8 cycles. Day 1/Day 2 first cycle verification.</t>
  </si>
  <si>
    <t>Acid Strip Execution</t>
  </si>
  <si>
    <t>Acid Strip: A-005041 100mM Acetic Acid via B2, Downflow, 1005 L/hr, 5 CV. Up to 8 cycles.</t>
  </si>
  <si>
    <t>Skid Flush Acid Strip</t>
  </si>
  <si>
    <t>Skid Flush: A-005041 via B2, Bypass, 477 L/hr, 15L. Up to 8 cycles.</t>
  </si>
  <si>
    <t>Equilibration 3 Execution</t>
  </si>
  <si>
    <t>Equil 3: 50 mM Tris pH 7.4 via A2, Downflow, 1005 L/hr, 3 CV. Up to 8 cycles.</t>
  </si>
  <si>
    <t>NaOH Strip Execution</t>
  </si>
  <si>
    <t>NaOH Strip: A0014-D 0.1N NaOH via B4, Downflow, 1005 L/hr, 3 CV. Up to 8 cycles.</t>
  </si>
  <si>
    <t>Skid Flush NaOH Strip</t>
  </si>
  <si>
    <t>Skid Flush: A0014-D via B4, Bypass, 477 L/hr, 15L. Up to 8 cycles.</t>
  </si>
  <si>
    <t>Collect column effluent near end of NaOH Strip. Verify conductivity 19-27 mS/cm and temperature 15-25°C using offline meter. Contact supervisor if out of spec. Record for up to 4 cycles.</t>
  </si>
  <si>
    <t>End of Cycle Decision Point</t>
  </si>
  <si>
    <t>After NaOH Strip completion, pumps stop. Continue to next step if no more cycles needed; go to Step 18.3 for additional cycles.</t>
  </si>
  <si>
    <t>Sanitization Hold - Final Cycle</t>
  </si>
  <si>
    <t>At completion of final cycle NaOH Strip, hold column for target 35 minutes (NOR: 30-120 min). Record Sanitization HOLD Start Time. Day 1 and Day 2 final cycles.</t>
  </si>
  <si>
    <t>CM Transfer End Recording</t>
  </si>
  <si>
    <t>Record CM storage end time in Attachment 2. Final transfer for last Affinity load.</t>
  </si>
  <si>
    <t>Skid Flush Equilibration Execution</t>
  </si>
  <si>
    <t>Skid Flush Equil: 50 mM Tris pH 7.4 (8003734) via A2, Bypass, 477 L/hr, 15L. Disconnect 50 mM Tris from Inlet A1 after sequence 9 completion. Connect 50 mM Tris to Inlet A2. Up to 8 cycles.</t>
  </si>
  <si>
    <t>Wash 1: 8011862 150mM Sodium Acetate/650mM Histidine-HCl pH 5.0 via B1, Downflow, 1005 L/hr, 3 CV (per method overview). Ensure outlet from CM Product (8011847) is CLOSED. Up to 8 cycles.</t>
  </si>
  <si>
    <t>Skid Flush Wash 1 Execution</t>
  </si>
  <si>
    <t>Skid Flush Wash 1: 8011862 via B1, Bypass, 477 L/hr, 15L. Up to 8 cycles.</t>
  </si>
  <si>
    <t>Wash 2: A-005097 50mM Sodium Acetate pH 5.0 via B3, Downflow, 1005 L/hr, 3 CV. Up to 8 cycles.</t>
  </si>
  <si>
    <t>Skid Flush Wash 2 Execution</t>
  </si>
  <si>
    <t>Skid Flush Wash 2: A-005097 via B3, Bypass, 477 L/hr, 15L. Up to 8 cycles.</t>
  </si>
  <si>
    <t>Elution Collection and Weight Recording</t>
  </si>
  <si>
    <t>Elution: 8002814 25mM Sodium Acetate pH 3.6, Downflow, 754 L/hr. Collection starts at 0.1 AU (Outlet switches to 4), ends at 0.2 AU (Outlet switches to 1). Record net weight/volume and end time from Totalizer B for each cycle. Record Total Load Volume across all cycles.</t>
  </si>
  <si>
    <t>End of Cycle / Continue Decision</t>
  </si>
  <si>
    <t>After NaOH Strip completion, pumps stop. Method complete. Continue to next step if no additional cycles needed for the day; continue to Step 18.3 if more cycles required.</t>
  </si>
  <si>
    <t>pH/Conductivity Meter Verification for Storage</t>
  </si>
  <si>
    <t>Confirm pH and conductivity meter standardized per SOP-0080297. Day 1 and Day 2 final cycle.</t>
  </si>
  <si>
    <t>Record Column Storage Buffer</t>
  </si>
  <si>
    <t>Record Column Storage buffer (8002256: 2% Benzyl Alcohol, 100mM Sodium Acetate pH 5.0) Part No., Batch No., Exp Date. Day 1 and Day 2.</t>
  </si>
  <si>
    <t>Initiate Column Storage Method</t>
  </si>
  <si>
    <t>Initiate AZD3427_AFFINITY_COLUMN_STORAGE per SOP-0080402.</t>
  </si>
  <si>
    <t>Review Column Storage Method Overview</t>
  </si>
  <si>
    <t>Review method: Skid Flush Line Chase (50L), Line Chase (1L bag/portable or 25L fixed tank), Skid Flush Column Storage (15L), Column Storage (3 CV), Column Storage Hold (15 min), Column Equilibration 3 (3 CV).</t>
  </si>
  <si>
    <t>Calculate Line Chase Volume</t>
  </si>
  <si>
    <t>Determine Line Chase volume: 1L for bag/portable tank, 25L for fixed tank collection.</t>
  </si>
  <si>
    <t>Start Column Storage Method</t>
  </si>
  <si>
    <t>Start AZD3427_AFFINITY_COLUMN_STORAGE. Record start time and batch ID. Verify flow paths.</t>
  </si>
  <si>
    <t>Skid Flush Line Chase Execution</t>
  </si>
  <si>
    <t>Skid Flush Line Chase: 25mM Sodium Acetate pH 3.6 via A4, Bypass, 900 L/hr, 50L.</t>
  </si>
  <si>
    <t>Line Chase to Collection Vessel</t>
  </si>
  <si>
    <t>Line Chase: 25mM Sodium Acetate pH 3.6 via A4, Bypass, Outlet 4, 900 L/hr, volume per Step 19.6. Day 1 and Day 2 final cycles.</t>
  </si>
  <si>
    <t>Skid Flush Column Storage</t>
  </si>
  <si>
    <t>Skid Flush: 2% Benzyl Alcohol (8002256) via B4, Bypass, 477 L/hr, 15L. Day 1 and Day 2.</t>
  </si>
  <si>
    <t>Column Storage Execution</t>
  </si>
  <si>
    <t>Column Storage: 8002256 via B4, Downflow, 477 L/hr, 3 CV. Day 1 and Day 2.</t>
  </si>
  <si>
    <t>Column Storage Hold</t>
  </si>
  <si>
    <t>Hold column in storage solution for 15 minutes. Record hold start and end times. Day 1 and Day 2.</t>
  </si>
  <si>
    <t>Record Sanitization Hold Duration</t>
  </si>
  <si>
    <t>Calculate: HOLD end time - HOLD start time (Step 18.26). NOR: 30-120 min (target 35 min). Day 1 and Day 2.</t>
  </si>
  <si>
    <t>Verify Column Storage Effluent</t>
  </si>
  <si>
    <t>Measure pH (4.5-5.5), conductivity, temperature (15-25°C) of column storage effluent using offline meter. Contact supervisor if out of spec. Day 1 and Day 2.</t>
  </si>
  <si>
    <t>Column Equilibration 3</t>
  </si>
  <si>
    <t>Column Equil 3: 50 mM Tris pH 7.4, Downflow, 1005 L/hr, 3 CV. Day 1 and Day 2.</t>
  </si>
  <si>
    <t>Record Post-Processing Gross Weight</t>
  </si>
  <si>
    <t>Record gross weight of filtered product after line chase.</t>
  </si>
  <si>
    <t>End-of-Day Decision Point</t>
  </si>
  <si>
    <t>Determine next steps: 2 days (Day 1: go to product storage; Day 2: go to Section 20 sampling), 1 day: N/A 19.19-19.21, go to Section 20.</t>
  </si>
  <si>
    <t>Depth Filter Disposal - Day 1</t>
  </si>
  <si>
    <t>Bleed residual pressure, set guard filter and column to Bypass, disconnect and dispose depth filters per SOP-0080613. Day 1 and Day 2 final cycles.</t>
  </si>
  <si>
    <t>Disconnect Column and Guard Filter</t>
  </si>
  <si>
    <t>Disconnect column from skid, dispose of guard filters. Day 1 and Day 2 final cycles.</t>
  </si>
  <si>
    <t>Day 1 Product Filter Replacement</t>
  </si>
  <si>
    <t>Remove product filters from collection vessel. If tank: CIP lines, install new filters, SIP line/filters. Document in Step 13.5.</t>
  </si>
  <si>
    <t>Day 1 CM Transfer Verification</t>
  </si>
  <si>
    <t>If harvest in Downstream with additional days: document actions for clean CM transfer in Attachment 10. If CC or 1-day process: N/A.</t>
  </si>
  <si>
    <t>Store Day 1 Product</t>
  </si>
  <si>
    <t>Store the Day 1 product and document storage start time/date. For product stored at 2-8°C, storage start time is when temperature setpoint changed to 2-8°C. For product stored at RT, storage start time is when product collection is complete. Record Initial Storage Condition (RT or 2-8°C checkbox) and Storage Start Time. Day 1 Final Cycle.</t>
  </si>
  <si>
    <t>Product Sampling Decision</t>
  </si>
  <si>
    <t>Sampling occurs on last day only. If additional days needed, proceed to Section 21. If last day, continue.</t>
  </si>
  <si>
    <t>Dispose Product Filters</t>
  </si>
  <si>
    <t>If bag: remove filters. If tank: leave filters for next unit operation.</t>
  </si>
  <si>
    <t>Mix Product Before Sampling</t>
  </si>
  <si>
    <t>Agitate/mix product for minimum 40 minutes per SOP-0107097. Record Mixer ID, Speed, Start/End Time, Duration.</t>
  </si>
  <si>
    <t>Collect Product Samples</t>
  </si>
  <si>
    <t>Remove sample volume per Attachment 4: Sample Plan. Follow SOP-0107097. Record sampling date and time. If non-routine samples, complete Attachment 5.</t>
  </si>
  <si>
    <t>Aliquot Product Samples</t>
  </si>
  <si>
    <t>Aliquot sample 8011840-30 per Attachment 4: Sample Plan. Aliquot non-routine samples per Attachment 5 if applicable.</t>
  </si>
  <si>
    <t>Label and Submit Product Samples</t>
  </si>
  <si>
    <t>Label per SOP-0107056, submit to DLIMS per SOP-0080295. Update sampling time and location in DLIMS.</t>
  </si>
  <si>
    <t>Test Product by SoloVPE</t>
  </si>
  <si>
    <t>Test sample 8011840-30 SOLO_A280 per SOP-0107091. If not tested immediately, store at 2-8°C. Record concentration.</t>
  </si>
  <si>
    <t>Record Post-Sampling Product Weight</t>
  </si>
  <si>
    <t>Record gross weight and calculate net weight after sampling. Record SoloVPE concentration result. Calculate total product mass.</t>
  </si>
  <si>
    <t>Store Final Product and Document Storage</t>
  </si>
  <si>
    <t>Store the Filtered Affinity Product and document storage information. For 2-Day process, transcribe storage start time/date and temperature from Step 19.22. Record Initial Storage Condition (RT or 2-8°C), Storage Start Time.</t>
  </si>
  <si>
    <t>Provide Load Start Time to Cell Culture</t>
  </si>
  <si>
    <t>Provide the following value to the Cell Culture team to be recorded in the Harvest record (MABR-0026890) for the CM Product Storage End Time: MPR Name, Load Start Time (Cycle 1 from Step 18.5).</t>
  </si>
  <si>
    <t>Disconnect Buffers from Skid</t>
  </si>
  <si>
    <t>Hold or end transfer phase for all buffers. Disconnect all buffers from chromatography skid. Day 1 and Day 2.</t>
  </si>
  <si>
    <t>Record Sanitization/Storage Buffer Info</t>
  </si>
  <si>
    <t>Record Part No., Batch No., Exp Date for Skid Sanitization (A0191-D: 1.0N NaOH) and Skid Storage (A0014-D: 0.1N NaOH). Day 1 and Day 2.</t>
  </si>
  <si>
    <t>Connect Sanitization Buffers</t>
  </si>
  <si>
    <t>Connect sanitization and storage buffers to skid inlets per SOP-0080402.</t>
  </si>
  <si>
    <t>Execute Skid Sanitization</t>
  </si>
  <si>
    <t>Perform skid sanitization with 1.0N NaOH per SOP-0080402. Record start/end times.</t>
  </si>
  <si>
    <t>Execute Skid Storage</t>
  </si>
  <si>
    <t>Store skid in 0.1N NaOH per SOP-0080402. Record completion.</t>
  </si>
  <si>
    <t>Verify Supporting Documentation</t>
  </si>
  <si>
    <t>Ensure any additional supporting documentation is listed and attached.</t>
  </si>
  <si>
    <t>Verify SAP Net Weight</t>
  </si>
  <si>
    <t>Verify that product Net Weight after sampling (Step 20.9) is correctly inputted into SAP.</t>
  </si>
  <si>
    <t>Submit Batch Record for Review</t>
  </si>
  <si>
    <t>Review Batch Production Record for completeness and submit for review. Production initial/date.</t>
  </si>
  <si>
    <t>Attachment 5: Non-Routine Sampling Record</t>
  </si>
  <si>
    <t>Form for documenting non-routine samples. Re-adjust product weight to reflect samples taken. Log into DLIMS per SOP-0080295. Record Process Section No., Contents, DLIMS Form, DLIMS Project Number, Container Type, Quantity for up to 5 samples.</t>
  </si>
  <si>
    <t>Attachment 6: Transfer Tubing/Hosing Information</t>
  </si>
  <si>
    <t>3-page form tracking up to 12 hoses/tubing plus 1 additional (Section 20). For each: Day used (1/2), Part No., Batch No., Exp Date, Autoclave No., Autoclave Exp Date, Total length, ID/OD, Performed/Witnessed signatures. Covers product recirculation tubing.</t>
  </si>
  <si>
    <t>Attachment 7: Product Recirculation Work Sheet</t>
  </si>
  <si>
    <t>Worksheet for product recirculation mixing when not in a mixing vessel. Record tubing info, product name, start recirculation, mix for ≥40 minutes. Record Start Time, End Time, Duration, Flow Direction, Pump Speed. Duration = End Time - Start Time in minutes.</t>
  </si>
  <si>
    <t>Attachment 9: Yield Calculations</t>
  </si>
  <si>
    <t>Multi-step yield calculation worksheet: Load Mass Pre-Sampling (Load Volume × Concentration), Actual Load Mass (accounting for sampling), Final Product Mass Pre-Sampling, Final Product Mass Post-Sampling. Step Yield = Product Mass / Actual Load Mass × 100%. MPR Yield = Post-Sampling Product Mass / Pre-Sampling Load Mass × 100%. Cross-references Steps 12.6, 20.3, 20.9.</t>
  </si>
  <si>
    <t>Attachment 10: Comments Section</t>
  </si>
  <si>
    <t>4-page free-text comments section for documenting deviations, supervisor decisions, out-of-specification events, process notes, adjusted flowrate reasons, and any additional information. Each entry requires Step No., Comments, and Initials/Date. 12 rows per page.</t>
  </si>
  <si>
    <t>Chromatography 2 Batch Record Analysis</t>
  </si>
  <si>
    <t>Batch ID: PN - 8011762</t>
  </si>
  <si>
    <t>Room Designation</t>
  </si>
  <si>
    <t>Verify room number (G446 – Small Purification) where ALXN2230_IDB_AFFINITY PAK recipe will be started.</t>
  </si>
  <si>
    <t>Data Logger and Process Trend Verification</t>
  </si>
  <si>
    <t>Contact supervisor/designee and verify data logger is on; verify process trend for PAK 1 is activated.</t>
  </si>
  <si>
    <t>PAK Equipment Selection</t>
  </si>
  <si>
    <t>Check off PAK equipment ID for IDB Affinity Manufacturing: PAK-4001 or PAK-4002; PAK referred to as 'PAK 1' for remainder of document.</t>
  </si>
  <si>
    <t>CM SUM Vessel Tare Weight</t>
  </si>
  <si>
    <t>Record CM SUM vessel tare weight; will be obtained as part of Step 12.5.</t>
  </si>
  <si>
    <t>Column Information</t>
  </si>
  <si>
    <t>DCS Connection and Alarm Verification</t>
  </si>
  <si>
    <t>Verify connection to DCS and that system is responding; verify PAK alarms are active on DCS.</t>
  </si>
  <si>
    <t>Yes/No for calculation</t>
  </si>
  <si>
    <t>Recipe Dry Test Verification</t>
  </si>
  <si>
    <t>Verify that PAK recipe ALXN2230_IDB_AFFINITY has been Dry Tested per WI-0024031 and Ran-As Expected.</t>
  </si>
  <si>
    <t>Affinity Product Collection Vessel Setup</t>
  </si>
  <si>
    <t>Obtain Affinity product collection vessel per DCCSS FORM-0123099; select from Flexsafe Pro SUM bags (6005028/200L, 6005029/400L, 6005040/1000L); record tare weight; fill product filter information in DCCSS.</t>
  </si>
  <si>
    <t>CM Hold Vessel Documentation Reference</t>
  </si>
  <si>
    <t>Document the Conditioned Medium Hold Vessel information in Step 7.8.</t>
  </si>
  <si>
    <t>Buffer Selection Screen</t>
  </si>
  <si>
    <t>Verify Buffer Selection screen parameters: EQ/Wash1, Sani, and buffer assignments; proceed to Dual Column Chromatography screen.</t>
  </si>
  <si>
    <t>CM SUM Vessel Information</t>
  </si>
  <si>
    <t>Select and document CM SUM vessel: vessel size, minimum agitation &amp; sampling volume/weight, bag part number, batch number, exp. date, SAP consumption.</t>
  </si>
  <si>
    <t>Unit operation Configuration Screen</t>
  </si>
  <si>
    <t>Recipe Start</t>
  </si>
  <si>
    <t>Start ALXN2230_IDB_AFFINITY recipe per SOP-0122998; record Recipe Start Time; record batch ID in PAK1 logbook.</t>
  </si>
  <si>
    <t>CM SUM Inlet/Outlet Connections Setup</t>
  </si>
  <si>
    <t>Set up inlet and outlet connections of CM SUM Vessel per diagram; DO NOT engage STC on port A11 on TP-1185 until Step 12.5; document transfer panel connectors, part numbers, batch numbers, exp dates, autoclave info, qty used; SAP consumption.</t>
  </si>
  <si>
    <t>Dual Column Chrom screeen</t>
  </si>
  <si>
    <t>Affinity Column Information Recording</t>
  </si>
  <si>
    <t>Document OPUS MabSelect PrismA column info from DCCSS FORM-0123099: Resin Name, DCCSS Part/Lot Number, Column A &amp; B Part Numbers (110034472), Serial Numbers, Column Bed Volume, Column Inlet Pressure, Differential Pressure (ΔP), Column Bed Height (20.5-23.5 cm specification). Assign pressures from DCCSS.</t>
  </si>
  <si>
    <t>Valve Verification - All VP and VB Closed</t>
  </si>
  <si>
    <t>Verify all VP and VB valves are closed on PAK 1.</t>
  </si>
  <si>
    <t>Column Inlet Pressure Calculation</t>
  </si>
  <si>
    <t>Calculate column inlet pressure for Affinity chromatography; compare Col A vs Col B pressures; verify from DCCSS that both columns were sanitized with 0.5N NaOH and equilibrated with 50mM Tris pH 7.4.</t>
  </si>
  <si>
    <t>CM Discard and Waste Line Sanitization - Daily Tables</t>
  </si>
  <si>
    <t>Multi-page (7+ continuation pages) iterative daily CM discard monitoring and waste line sanitization tables: daily tracking of CM discard via VP11, NaOH sanitization cycles, flow rate adjustments per WI-0021863, with Performed/Witnessed signatures each day.</t>
  </si>
  <si>
    <t>Column Sanitization/Storage Verification</t>
  </si>
  <si>
    <t>Verify from DCCSS (FORM-0123099) that Affinity columns A and B have been sanitized with A0013-D: 0.5 N NaOH and stored in 8002256: 2% (v/v) Benzyl Alcohol, 100 mM Sodium Acetate per DCCSS instructions.</t>
  </si>
  <si>
    <t>Reverse calculation</t>
  </si>
  <si>
    <t>Total Cell Culture Volume (TCCV)</t>
  </si>
  <si>
    <t>Obtain TCCV value from upstream (BRX vessel volume + TFF loop hold-up volume) and document.</t>
  </si>
  <si>
    <t>PH11 FK1 Inlet pH Calibration - Daily Tables</t>
  </si>
  <si>
    <t>Multi-day iterative calibration table (13 columns × multiple IDB days): Offline pH meter ID, Time/Date CM sampled, Offline pH, PH11 pH, Offset, YES/NO threshold check, Total Offset, update timestamp, dual signatures.</t>
  </si>
  <si>
    <t>Load Residence Time Factor Calculation</t>
  </si>
  <si>
    <t>Calculate load residence time factor: TCCV (Step 9.1) ÷ conversion factor.</t>
  </si>
  <si>
    <t>FK1 Outlet pH Calibration - Daily Tables</t>
  </si>
  <si>
    <t>Multi-day calibration table for FK1 Outlet pH: IDB Day, Offline pH, FK1 Outlet pH, Offset, threshold check, Total Offset.</t>
  </si>
  <si>
    <t>Target Affinity Load Residence Time</t>
  </si>
  <si>
    <t>Calculate Target Affinity Load Residence Time in minutes: Column Bed Volume (Step 8.1) ÷ factor from Step 9.2.</t>
  </si>
  <si>
    <t>Process Solution Batches - Tracking</t>
  </si>
  <si>
    <t>Multi-page solution batch tracking: initial + changeover documentation for all 6 solutions (50mM Tris, 0.5N NaOH, Wash 2, NaOAc pH 6.5, NaOAc pH 4.45, 100mM Acetic Acid) across IDB days; verify batch numbers, expiry dates, SAP consumption at each changeover.</t>
  </si>
  <si>
    <t>Residence Time Confirmation</t>
  </si>
  <si>
    <t>Confirm that Step 9.3 result is ≥7 minutes; conditional: if YES continue, if NO contact supervisor.</t>
  </si>
  <si>
    <t>HPLC Testing - Daily Tables (15+ IDB Days)</t>
  </si>
  <si>
    <t>Multi-page (14+ continuation pages) iterative HPLC testing tables: daily CM sampling, titer results, PAK titer update, TFF changeout status, dual signatures per entry.</t>
  </si>
  <si>
    <t>Target Affinity Load Calculation</t>
  </si>
  <si>
    <t>Calculate Target Affinity Load: Column Bed Volume (Step 8.1) × Target Load Challenge.</t>
  </si>
  <si>
    <t>CM Product Quality Sampling - Daily Tables</t>
  </si>
  <si>
    <t>Multi-page iterative CM product quality sampling tables across IDB days: sample collection, DLIMS submissions, product weight tracking.</t>
  </si>
  <si>
    <t>Affinity Load Velocity Calculation</t>
  </si>
  <si>
    <t>Calculate Affinity Load velocity in cm/min: Column Height (Step 8.1) ÷ Minimum Affinity Load Residence Time.</t>
  </si>
  <si>
    <t>Column Load % Documentation Instructions</t>
  </si>
  <si>
    <t>Record Column Load % each cycle; 100% unless manually ended; document reasons in Att 13 if manual.</t>
  </si>
  <si>
    <t>NaOH Hold Linear Velocity Calculation</t>
  </si>
  <si>
    <t>Calculate NaOH Hold linear velocity for minimum 15-minute contact time: Column Height × NaOH Hold Velocity Conversion Ratio.</t>
  </si>
  <si>
    <t>Column Load % and Elution Cycle CVs - Daily Tables</t>
  </si>
  <si>
    <t>Multi-page iterative Load % and Elution Cycle CV tables across IDB days: cycle-by-cycle tracking with dual signatures.</t>
  </si>
  <si>
    <t>Load Challenge Confirmation</t>
  </si>
  <si>
    <t>Confirm calculated load challenge values; verify against specifications.</t>
  </si>
  <si>
    <t>IDF Vessel Tare Weight</t>
  </si>
  <si>
    <t>Record tare weight of IDF product collection vessel (if tank, per SOP-0107095).</t>
  </si>
  <si>
    <t>Vessel Size Parameter for DCCSS</t>
  </si>
  <si>
    <t>Record Vessel Size of CM Hold Vessel (from Step 7.8) for DCCSS input.</t>
  </si>
  <si>
    <t>Target Flow Rate Calculation</t>
  </si>
  <si>
    <t>Calculate target flow rate and parameters for depth filtration: L/min based on filter surface area.</t>
  </si>
  <si>
    <t>Affinity Vessel Size for DCCSS</t>
  </si>
  <si>
    <t>Record Vessel Size of Affinity vessel (from Step 10.1) and TCCV (from Step 9.1) for DCCSS input.</t>
  </si>
  <si>
    <t>Pump WFI Flush Execution</t>
  </si>
  <si>
    <t>Slowly begin flushing depth filters with WFI to bleed air. Increase pump speed to Target Flow Rate from Step 18.5. Do not exceed inlet pressure of 50 psig or ΔP of 30 psid. Continue until minimum flush volume from Step 18.5 achieved and conductivity ≤1 mS/cm. Record WFI flush volume and conductivity.</t>
  </si>
  <si>
    <t>IDF Hold Time Transcription</t>
  </si>
  <si>
    <t>Ensure hold times are transcribed into Attachment 10: IDB Affinity Product Hold Times. Transcribe Step 20.12 (Depth Filter Chase End Time) as IDB Affinity Product Storage End (Time/Date).</t>
  </si>
  <si>
    <t>PAK 1 Probe Verification</t>
  </si>
  <si>
    <t>Verify pH, conductivity, and UV meter probes on PAK 1 documented in DCCSS FORM-0123099 and PAK Logbook FORM-0126766, user standardized per SOP-0122998.</t>
  </si>
  <si>
    <t>Proceed to Post-IDF Activities</t>
  </si>
  <si>
    <t>Proceed to Section 22: Post-Intermediate Depth Filtration: Chromatography Skid Sanitization and Storage.</t>
  </si>
  <si>
    <t>Process Solution Line Connections</t>
  </si>
  <si>
    <t>Verify solutions connected to PAK 1 buffer inlets: 50mM Tris pH 7.4 (VB11), 0.5N NaOH (VB12), Wash 2 buffer (25mM Tris/420mM Arg/500mM NaCl/Virodex pH 9.0), 25mM NaOAc pH 6.5 (Wash 3), 25mM NaOAc pH 4.45 (Elution), 100mM Acetic Acid (Strip).</t>
  </si>
  <si>
    <t>Attachment 1: HPLC Setup &amp; Method Verification</t>
  </si>
  <si>
    <t>Multi-page HPLC setup: Mobile Phase B Preparation (0.1% Phosphoric Acid in PBS), method verification per SOP-0123585, confirm method settings. 2 tables.</t>
  </si>
  <si>
    <t>Solution Line Label Verification</t>
  </si>
  <si>
    <t>Verify each process solution line labeled per SOP-0107056 with: ALXN2230, solution part number, transfer panel number/port connection.</t>
  </si>
  <si>
    <t>Attachment 9: Conditioned Medium Hold Times</t>
  </si>
  <si>
    <t>CM hold time tracking: accumulates during CM Drain End (Step 12.16) → Cycle 1 Load Start (Step 13.10) and any pauses &gt;12 hrs; worked example provided; contact supervisor if exceeded.</t>
  </si>
  <si>
    <t>Process Solution Batch Recording</t>
  </si>
  <si>
    <t>For each Affinity solution, verify and document batch info in Step 14.8 Process Solution Batches table.</t>
  </si>
  <si>
    <t>Attachment 12: Manual Pump Calibrations</t>
  </si>
  <si>
    <t>16-table (8+ page) iterative pump calibration forms: Product Pumps 1&amp;2, Buffer Pumps 1&amp;2 per WI-0021861; repeat daily until New = Current Calibration Factor; max 4 calibrations/day before escalation.</t>
  </si>
  <si>
    <t>CM Vessel Connection to PAK</t>
  </si>
  <si>
    <t>Connect CM Vessel to PAK; DO NOT engage STC on port A11 on TP-1185 until Step 12.5; record tubing part number, batch number, exp date, qty used.</t>
  </si>
  <si>
    <t>CEX Column Storage</t>
  </si>
  <si>
    <t>System Check - Recipe Parameters Loading</t>
  </si>
  <si>
    <t>Verify ALXN2230_IDB_AFFINITY recipe parameters loaded per Steps 11.9-11.13 tables.</t>
  </si>
  <si>
    <t>pH Adjustment</t>
  </si>
  <si>
    <t>Process Configuration Screen</t>
  </si>
  <si>
    <t>Check off each task on Process Configuration Screen: batch-specific settings per recipe requirements.</t>
  </si>
  <si>
    <t>Unit Operation Configuration Screen</t>
  </si>
  <si>
    <t>Verify Unit Operation parameters for all 4 unit operations; click Continue to proceed to Buffer Selection screen. Each unit operation has multiple parameter rows.</t>
  </si>
  <si>
    <t>Dual Column Chromatography - Left Pane</t>
  </si>
  <si>
    <t>Verify left pane parameters: Feed Parameters, Unit Operation Parameters (transcribe and verify), column assignments, flow path configuration.</t>
  </si>
  <si>
    <t>Dual Column Chromatography - Right Pane</t>
  </si>
  <si>
    <t>Verify right pane: Buffer Assignment, Phase Name, CV, Velocity (cm/h), Elution settings, Gradient parameters (Start/Stop CV, Start/Stop Percent) for all chromatography phases. 22+ parameter rows across multiple phases.</t>
  </si>
  <si>
    <t>System Start-Up - Integrity Test</t>
  </si>
  <si>
    <t>System Integrity/Leak Test: follow SOP-0122998 and HMI prompts to open clamps during test; record test number, result (Pass/Fail), actions if failed.</t>
  </si>
  <si>
    <t>Post-Integrity Test Pause</t>
  </si>
  <si>
    <t>PAK recipe paused - manual operations still allowed; will not RESUME until Step 12.22.</t>
  </si>
  <si>
    <t>Mass Flow Sensor Tare</t>
  </si>
  <si>
    <t>Clamp off mass flow sensors, open Maintenance Panel on HMI, tare mass flow sensors; unclamp after taring.</t>
  </si>
  <si>
    <t>Flow Kit Tubing Installation</t>
  </si>
  <si>
    <t>Install flow kit tubing into pump runners per SOP-0122998.</t>
  </si>
  <si>
    <t>Pre-Skid Vessel Level Control Parameters</t>
  </si>
  <si>
    <t>Set Pre-Skid Vessel level control parameters on PAK 1 Process Overview Screen per WI-0021863.</t>
  </si>
  <si>
    <t>Column Installation on PAK</t>
  </si>
  <si>
    <t>Install Affinity columns A and B on PAK system; verify column orientation and connections.</t>
  </si>
  <si>
    <t>Column Connection Verification</t>
  </si>
  <si>
    <t>Verify all column connections; confirm flow paths for both columns.</t>
  </si>
  <si>
    <t>Air Trap Setup</t>
  </si>
  <si>
    <t>Set up air traps and verify proper function per SOP-0122998.</t>
  </si>
  <si>
    <t>Pre-Skid Vessel Target Weight</t>
  </si>
  <si>
    <t>Set Pre-Skid Vessel target weight per WI-0021863; record target value.</t>
  </si>
  <si>
    <t>VP/VB Valve Closure and Pre-Skid Level Control</t>
  </si>
  <si>
    <t>Verify all VP and VB valves are closed on PAK 1. Set Pre Skid Vessel level control parameters on PAK 1 Process Overview Screen: High-High (400 L), High (395 L), Target, Low (75 L), Low-Low (70 L). Contact supervisor for target value.</t>
  </si>
  <si>
    <t>Column Clamp Verification and Proceed</t>
  </si>
  <si>
    <t>Ensure column inlet and outlet clamps on both Columns A and B are closed. When Production Perfusion is ready to start, proceed to Section 12.</t>
  </si>
  <si>
    <t>Section 12 Overview</t>
  </si>
  <si>
    <t>Overview: For first 96±8 hours of Production Perfusion, CM collected into CM Vessel and discarded to waste via VP11 on PAK 1, Flow Kit 1.</t>
  </si>
  <si>
    <t>CM Discard Flow Path Diagram</t>
  </si>
  <si>
    <t>Reference diagram for CM discard flow path from CM Vessel through VP11 to waste.</t>
  </si>
  <si>
    <t>Waste Line Sanitization Flow Path Diagram</t>
  </si>
  <si>
    <t>Reference diagram for Waste Line Sanitization flow path from 0.5N NaOH through VP11 to waste.</t>
  </si>
  <si>
    <t>Production Perfusion Start Coordination</t>
  </si>
  <si>
    <t>Contact upstream Cell Culture on day Production Perfusion starts; obtain End of Media Dilution time/date from upstream batch record; record Start Time/Date of Production Perfusion.</t>
  </si>
  <si>
    <t>CM Vessel Tare Weight and STC Engagement</t>
  </si>
  <si>
    <t>Obtain CM Vessel tare weight; engage STC on port A11 on TP-1185.</t>
  </si>
  <si>
    <t>Pump Flow Rate PID Verification</t>
  </si>
  <si>
    <t>Open pump faceplate on HMI for each pump; verify Flow Rate PID is ON for Buffer Pump 1, Product Pump 1, Buffer Pump 2, Product Pump 2.</t>
  </si>
  <si>
    <t>CM Discard Initial Setup</t>
  </si>
  <si>
    <t>Close Buffer Pump 1 clamp and all VB/VP valves; set up clamp positions per WI-0021863 for CM discard.</t>
  </si>
  <si>
    <t>CM Discard Duration Calculation</t>
  </si>
  <si>
    <t>Calculate minimum CM discard end time: Production Perfusion Start + 96 hrs ±8 hrs.</t>
  </si>
  <si>
    <t>Minimum End Time of CM Discard</t>
  </si>
  <si>
    <t>Record Minimum End Time/Date of CM Discard.</t>
  </si>
  <si>
    <t>Additional Waste Line Sanitization Setup</t>
  </si>
  <si>
    <t>Set up additional sanitization of CM discard waste line per Step 12.3 diagram; set clamp positions (Closed: CM TP clamp, CM Load clamp; Opened: Buffer Pump 1 clamp, VB11, VP11).</t>
  </si>
  <si>
    <t>Sanitization Flush Start</t>
  </si>
  <si>
    <t>Set Buffer pump at 0.5 L/min and start flushing CM discard waste line with 0.5N NaOH; record flush start time.</t>
  </si>
  <si>
    <t>Sanitization Flush Monitoring</t>
  </si>
  <si>
    <t>Monitor flush duration; ensure minimum contact time achieved for 0.5N NaOH sanitization.</t>
  </si>
  <si>
    <t>CM Vessel Drain Setup</t>
  </si>
  <si>
    <t>Prepare CM discard flow path for CM Vessel drain to ~30 kg: stop agitation, close appropriate clamps.</t>
  </si>
  <si>
    <t>CM Vessel Drain Execution</t>
  </si>
  <si>
    <t>Start Product Pump 1 at 1 L/min and drain CM Vessel through CM discard flow path; record drain parameters.</t>
  </si>
  <si>
    <t>CM Vessel Drain End Time Recording</t>
  </si>
  <si>
    <t>Record CM Vessel Drain End Time/Date; this timestamp used for hold time calculations in Attachment 9.</t>
  </si>
  <si>
    <t>Waste Disposition</t>
  </si>
  <si>
    <t>Dispose of waste CM per facility procedures.</t>
  </si>
  <si>
    <t>CM Vessel Refill</t>
  </si>
  <si>
    <t>Ensure flow path for collecting CM into CM Vessel remains open; continue collecting CM to refill to Step 11.22 target weight.</t>
  </si>
  <si>
    <t>Manual Sanitization FK1 Inlet and CM Waste Line</t>
  </si>
  <si>
    <t>Manual sanitization of Flow Kit 1 inlet and CM waste line flow path per Step 12.3 diagram; record sanitization parameters.</t>
  </si>
  <si>
    <t>Set Up for PAK Recipe RESUME</t>
  </si>
  <si>
    <t>Set up for System Start-Up Sanitization Flush: ensure Buffer/Product Pumps OFF, verify VP/VB valves closed, open Buffer Pump 1 clamp, open VB11 and VP11.</t>
  </si>
  <si>
    <t>PAK Recipe Resume - Sanitization Flush</t>
  </si>
  <si>
    <t>Resume PAK recipe; flush 0.5N NaOH through PAK system; record flush parameters.</t>
  </si>
  <si>
    <t>System Sanitization Hold Start</t>
  </si>
  <si>
    <t>Record System Sanitization Hold Start Time.</t>
  </si>
  <si>
    <t>During Sanitization Hold - Pump Verification</t>
  </si>
  <si>
    <t>While in System Sanitization Hold: clamp off mass flow sensors, tare via Maintenance Panel, verify pump faceplates for each pump, record settings.</t>
  </si>
  <si>
    <t>Sanitization Hold - Valve and Pump Calibration</t>
  </si>
  <si>
    <t>Verify all VP/VB valves closed; perform manual pump calibrations per WI-0021861 if mass flow sensors not available.</t>
  </si>
  <si>
    <t>Post-Sanitization Equilibration Setup</t>
  </si>
  <si>
    <t>Set up for post-sanitization equilibration of PAK system.</t>
  </si>
  <si>
    <t>Sanitization Hold End and Duration Calculation</t>
  </si>
  <si>
    <t>Record Sanitization Hold End Time; calculate Sanitization Hold Duration = End Time - Start Time.</t>
  </si>
  <si>
    <t>CM Vessel Refill Continuation and Agitation</t>
  </si>
  <si>
    <t>Continue refilling CM Vessel per Step 12.18; when minimum agitation weight reached (Step 7.8), start agitation; record RPM setting.</t>
  </si>
  <si>
    <t>Post-Sanitization System Configuration</t>
  </si>
  <si>
    <t>Complete post-sanitization system configuration; prepare for HPLC setup and Cycle 1.</t>
  </si>
  <si>
    <t>HPLC Method Setup</t>
  </si>
  <si>
    <t>Set up ALXN2230_03APR2025 HPLC method per SOP-0123583; daily CM titer measured by HPLC ≥2x daily at ~12 hr ±2 hr intervals.</t>
  </si>
  <si>
    <t>HPLC Method Verification</t>
  </si>
  <si>
    <t>Verify HPLC method performance per SOP-0123583/SOP-0123585; record verification results.</t>
  </si>
  <si>
    <t>HPLC Sample Preparation</t>
  </si>
  <si>
    <t>Prepare CM sample for HPLC testing per SOP-0123583.</t>
  </si>
  <si>
    <t>CM Sampling for Titer</t>
  </si>
  <si>
    <t>Sample CM from CM Vessel per SOP-0107097; record sample time.</t>
  </si>
  <si>
    <t>CM Product Quality Samples</t>
  </si>
  <si>
    <t>Sample CM from CM Vessel per Steps 14.11-14.12 daily sampling plan; document sampling date/time.</t>
  </si>
  <si>
    <t>Resuming Steady State Preparation</t>
  </si>
  <si>
    <t>Perform actions to prepare for resuming steady state PAK operation.</t>
  </si>
  <si>
    <t>Update PAK Titer Value</t>
  </si>
  <si>
    <t>Update PAK titer value based on HPLC results.</t>
  </si>
  <si>
    <t>Cycle 1 Pre-Load Verification</t>
  </si>
  <si>
    <t>Verify all systems ready for Cycle 1 load; confirm recipe parameters.</t>
  </si>
  <si>
    <t>Cycle 1 Load Setup</t>
  </si>
  <si>
    <t>Prepare for Cycle 1 Load of Conditioned Medium (8011712).</t>
  </si>
  <si>
    <t>Cycle 1 Load Start</t>
  </si>
  <si>
    <t>Start Cycle 1 Load (8011712: Conditioned Medium); document Load Start Time.</t>
  </si>
  <si>
    <t>Cycle 1 Elution</t>
  </si>
  <si>
    <t>Cycle 1 Elution (8011771: 25 mM Sodium Acetate, pH 4.45); document Elution Start Time.</t>
  </si>
  <si>
    <t>Cycle 1 Post-Elution</t>
  </si>
  <si>
    <t>Record Cycle 1 completion; verify strip and re-equilibration.</t>
  </si>
  <si>
    <t>Cycle 1 CM Vessel Sampling</t>
  </si>
  <si>
    <t>Sample CM Vessel on last day of Production Perfusion per Attachment 2 if applicable.</t>
  </si>
  <si>
    <t>Cycle 1 Elution Start</t>
  </si>
  <si>
    <t>CYCLE 1 Elution (8011771: 25 mM Sodium Acetate, pH 4.45). When Cycle 1 Elution starts, document the Elution Start Time.</t>
  </si>
  <si>
    <t>Cycle 1 Elution Monitoring and Proceed</t>
  </si>
  <si>
    <t>During Cycle 1 Elution: Bleed air from the product filter as the product collection lines fill. NOTE: Additional air bleeds in subsequent elution cycles documented in Step 14. Proceed to Section 14.</t>
  </si>
  <si>
    <t>Section 14 Overview - Task Frequencies</t>
  </si>
  <si>
    <t>Overview: continuous processing tasks with minimum frequencies for Steps 14.2-14.21; includes pH calibrations, HPLC testing, solution tracking, sampling, filter changes, column load tracking.</t>
  </si>
  <si>
    <t>PH11 FK1 Inlet pH Calibration Instructions</t>
  </si>
  <si>
    <t>Instructions for PH11 (FK1 Inlet pH) calibration per WI-0021861: compare offline pH to PH11, calculate offset, apply Total Offset if |offset| ≥0.05.</t>
  </si>
  <si>
    <t>FK1/FK2 Inlet/Outlet pH Calibration Instructions</t>
  </si>
  <si>
    <t>Instructions for FK1 Outlet, FK2 Inlet, FK2 Outlet pH probe calibrations per WI-0021861; same offset methodology as PH11.</t>
  </si>
  <si>
    <t>FK2 Inlet pH Calibration - Daily Tables</t>
  </si>
  <si>
    <t>Multi-day calibration table for FK2 Inlet pH: same 13-column structure as FK1 Outlet.</t>
  </si>
  <si>
    <t>FK2 Outlet pH Calibration - Daily Tables</t>
  </si>
  <si>
    <t>Multi-day calibration table for FK2 Outlet pH: same 13-column structure.</t>
  </si>
  <si>
    <t>HPLC Testing Instructions</t>
  </si>
  <si>
    <t>Instructions: CM titer testing ≥2x daily ~12±2 hrs apart; TFF changeout sampling; CM vessel minimum sampling weight; PAK titer update procedure; FIO sample documentation.</t>
  </si>
  <si>
    <t>CM Product Quality Sampling Instructions</t>
  </si>
  <si>
    <t>Instructions for daily CM product quality sampling: DLIMS submission per SOP-0080295, STAT SOLO_A280 per SOP-0107091, minimum mixing/sampling weight.</t>
  </si>
  <si>
    <t>CM Vessel Last Day Sampling (Attachment 2)</t>
  </si>
  <si>
    <t>On LAST day of Production Perfusion: remove CM and CM-ALXN sample volumes per Attachment 2; submit per DLIMS.</t>
  </si>
  <si>
    <t>CM Product Quality - Additional Sampling</t>
  </si>
  <si>
    <t>Additional CM quality sampling per plan; submit results.</t>
  </si>
  <si>
    <t>Affinity Product Minimum Mixing Weight</t>
  </si>
  <si>
    <t>Verify Affinity vessel at Minimum Mixing &amp; Sampling Weight; start mixing once reached.</t>
  </si>
  <si>
    <t>Affinity Product Sampling Instructions</t>
  </si>
  <si>
    <t>Instructions: start within 24 hrs of Mixing Start; subsequent sampling ±2 hrs from first day; STAT SOLO_A280.</t>
  </si>
  <si>
    <t>Affinity Product Sampling - Daily Tables</t>
  </si>
  <si>
    <t>Multi-page iterative tables: product mass, SOLO_A280, concentration, sample submissions; rows N/A for first 4 days of Production Perfusion.</t>
  </si>
  <si>
    <t>Product Filter Change Instructions</t>
  </si>
  <si>
    <t>Instructions for product filter changes; bolded PNs require autoclaving; Max Filter Throughput = 300 L/m² × Surface Area.</t>
  </si>
  <si>
    <t>Product Filter Tracking Tables</t>
  </si>
  <si>
    <t>Multi-page filter tracking: installation date, throughput, change dates during continuous processing.</t>
  </si>
  <si>
    <t>Continuous Process Iteration</t>
  </si>
  <si>
    <t>Repeat Steps 14.1-14.21 throughout the continuous IDB Affinity process. Refer to Step 14.1 for frequency of each task.</t>
  </si>
  <si>
    <t>Shutdown Confirmation</t>
  </si>
  <si>
    <t>SHUTDOWN – Do not proceed until the end of Production Perfusion is confirmed. Confirm with Cell Culture the end of Production Perfusion. Record Date/Time shutdown confirmed.</t>
  </si>
  <si>
    <t>Final Cycle Load End Documentation</t>
  </si>
  <si>
    <t>Document the Load End Date/Time for the final IDB Affinity cycle. If Load End Date &gt; Expected End Date of IDB Process (first page), note in comments section.</t>
  </si>
  <si>
    <t>Final Cycle Completion Verification</t>
  </si>
  <si>
    <t>Ensure that final cycle completes and that the minimum level has been met for the unit operation.</t>
  </si>
  <si>
    <t>Total Cycles Documentation</t>
  </si>
  <si>
    <t>Confirm that all Elution cycle CVs for both columns are documented in Step 14.21. Document total number of IDB Affinity Cycles completed per column (Column A and Column B).</t>
  </si>
  <si>
    <t>End-of-Run Cleaning and PAK 1 Shutdown</t>
  </si>
  <si>
    <t>Once the IDB Affinity process has ended (including PAK 1 shutdown and storage), perform the end-of-run cleaning and breakdown of the PAK 1 system and associated equipment.</t>
  </si>
  <si>
    <t>Final Pool Gross and Net Weight - Pre-Sampling</t>
  </si>
  <si>
    <t>Ensure Affinity vessel in same config as tare weight (Step 10.1); obtain gross and net weights of Final IDB Affinity Product Pool before sampling.</t>
  </si>
  <si>
    <t>Final Pool Sample Volume Removal</t>
  </si>
  <si>
    <t>Remove at least sample volume per Attachment 3 and SOP-0107097; remove additional 10 mL sample for pH/conductivity/temperature.</t>
  </si>
  <si>
    <t>Final Pool Sample Labeling</t>
  </si>
  <si>
    <t>Label samples per SOP-0107056; create separate labels for -30-ALXN samples with ALXN2230, Batch Number, Step number, sample details.</t>
  </si>
  <si>
    <t>Final Pool pH/Conductivity/Temperature</t>
  </si>
  <si>
    <t>Measure pH, conductivity, and temperature of sample; record benchtop meter IDs.</t>
  </si>
  <si>
    <t>Final Pool SoloVPE Concentration</t>
  </si>
  <si>
    <t>Perform SoloVPE protein concentration determination per SOP-0107091; record A280 result.</t>
  </si>
  <si>
    <t>Final Pool DLIMS Sample Submission</t>
  </si>
  <si>
    <t>Submit all required final pool samples per Attachment 3 via DLIMS per SOP-0080295.</t>
  </si>
  <si>
    <t>Final Pool Post-Sampling Weight</t>
  </si>
  <si>
    <t>Record Final IDB Affinity Product Pool weight after sampling.</t>
  </si>
  <si>
    <t>Final Pool Product Storage</t>
  </si>
  <si>
    <t>Store Affinity product and record storage information; document in Attachment 10: IDB Affinity Product Hold Times.</t>
  </si>
  <si>
    <t>Hold Time Transcription</t>
  </si>
  <si>
    <t>Ensure hold times are transcribed: Step 12.16 (CM Vessel Drain End Time/Date) as CM Hold Start Time; Step 13.10 (Cycle 1 Load Start Time) as CM Hold End Time; Step 13.13 (CYCLE 1 Elution Start Time) as IDB Affinity Product Storage Start.</t>
  </si>
  <si>
    <t>Proceed to IDF Set-Up</t>
  </si>
  <si>
    <t>Proceed to Section 16: Inline Depth Filtration (IDF) – Set-Up Activities.</t>
  </si>
  <si>
    <t>IDF Room Verification and Line Clearance</t>
  </si>
  <si>
    <t>Verify room for IDF processing; confirm line clearance and equipment availability.</t>
  </si>
  <si>
    <t>IDF Materials Gathering</t>
  </si>
  <si>
    <t>Gather all IDF materials per BOM Section 4.</t>
  </si>
  <si>
    <t>IDF Product Warm-up from Cold Storage</t>
  </si>
  <si>
    <t>If IDB Affinity Product was stored at 2-8°C, record removal time in Attachment 10.</t>
  </si>
  <si>
    <t>IDF Load Product Pool Weight Verification</t>
  </si>
  <si>
    <t>Verify and record IDF Load Product Pool weight.</t>
  </si>
  <si>
    <t>Estimated AEX Product Calculation</t>
  </si>
  <si>
    <t>Calculate estimated ALXN2230 Adjusted AEX product: IDF Load Product Pool (Step 16.8) × Addition Factor × Safety Factor.</t>
  </si>
  <si>
    <t>IDF Load Concentration Recording</t>
  </si>
  <si>
    <t>Record IDF load product concentration from SoloVPE (Attachment 3) for yield calculations.</t>
  </si>
  <si>
    <t>IDF Load Mass Calculation</t>
  </si>
  <si>
    <t>Calculate IDF Load Mass per Attachment 11 yield calculations.</t>
  </si>
  <si>
    <t>IDF Load Product Pool Final Value</t>
  </si>
  <si>
    <t>Record final IDF Load Product Pool value used for depth filter sizing and filtration parameters.</t>
  </si>
  <si>
    <t>IDF Product Vessel Selection</t>
  </si>
  <si>
    <t>Select IDF product collection vessel; record vessel type, part number, batch number.</t>
  </si>
  <si>
    <t>IDF Vessel Setup and Connections</t>
  </si>
  <si>
    <t>Set up IDF product vessel: inlet/outlet connections, product filters per applicable SOPs.</t>
  </si>
  <si>
    <t>IDF Vessel Material Tracking</t>
  </si>
  <si>
    <t>Record all materials: bags, filters, tubing with Part No./Batch No./Exp. Date.</t>
  </si>
  <si>
    <t>Minimum Depth Filter Surface Area Calculation</t>
  </si>
  <si>
    <t>Calculate minimum depth filter surface area: IDF Load Product Pool (Step 16.8) / Max Depth Filter Load = Minimum Surface Area.</t>
  </si>
  <si>
    <t>Depth Filter Pod Selection and Material Tracking</t>
  </si>
  <si>
    <t>Obtain Pod holder, Pod adapter, and filters (PN: 6003732 Millistak+HC Pod X0SP 1.1 m²); obtain pressure gauges per SOP-0080999; record all part numbers, batch numbers, expiry dates.</t>
  </si>
  <si>
    <t>Depth Filter Installation</t>
  </si>
  <si>
    <t>Install depth filter pods and connect to filtration system.</t>
  </si>
  <si>
    <t>Depth Filter Surface Area Verification</t>
  </si>
  <si>
    <t>Calculate and verify Total depth filter surface area installed meets Minimum from Step 18.1.</t>
  </si>
  <si>
    <t>Max Load Volume Calculation</t>
  </si>
  <si>
    <t>Calculate Max Load Volume for depth filter(s) based on surface area and throughput limit.</t>
  </si>
  <si>
    <t>Depth Filter Chase Volume Calculation</t>
  </si>
  <si>
    <t>Calculate depth filter chase volume: 1L if bag, 8L if fixed tank; use filter surface area.</t>
  </si>
  <si>
    <t>WFI Source Obtainment</t>
  </si>
  <si>
    <t>Obtain WFI from WFI Hold Tank (TK-1458) or bag collection. Verify SIP completed and port flushed per SOP-0080303. Verify WFI Hold tank status is "Clean." Record WFI collection vessel information.</t>
  </si>
  <si>
    <t>SAP Consumption - WFI</t>
  </si>
  <si>
    <t>SAP Consumption documentation for WFI obtained.</t>
  </si>
  <si>
    <t>Equilibration Buffer Obtainment</t>
  </si>
  <si>
    <t>Obtain Depth Filter Equilibration buffer 25 mM Sodium Acetate, pH 4.45 (8011771).</t>
  </si>
  <si>
    <t>Depth Filter Flush Setup Selection</t>
  </si>
  <si>
    <t>Set up for depth filter flush. Branching: If using Quattroflow pump, continue to Step 19.5. If using chromatography skid, N/A Steps 19.4 through 19.13, then continue to Step 19.14.</t>
  </si>
  <si>
    <t>Offline Pump Obtainment</t>
  </si>
  <si>
    <t>Depth Filtration Flush – Offline Pump. Obtain a pump for Depth Filtration Flush. Ensure pump was cleaned and ready for use per SOP-0080390. Record Quattroflow Pump ID.</t>
  </si>
  <si>
    <t>Flow Meter Obtainment</t>
  </si>
  <si>
    <t>Obtain the flow meter needed for Depth Filtration flush. Ensure flow meter was cleaned and ready for use per SOP-0080438. Setup pump and flow meter. Record Flow Meter ID.</t>
  </si>
  <si>
    <t>Pump WFI Flow Path Connection</t>
  </si>
  <si>
    <t>Connect outlet of WFI obtained in Step 19.1 to inlet of pump. Connect outlet of pump to inlet of flow meter.</t>
  </si>
  <si>
    <t>Pod Holder Connection - Pump</t>
  </si>
  <si>
    <t>Connect inlet of Pod holder to outlet of flow meter. Direct outlet of Pod holder to waste.</t>
  </si>
  <si>
    <t>Buffer Connection - Pump</t>
  </si>
  <si>
    <t>Disconnect WFI container from inlet of pump. Connect outlet of 8011771 to inlet of pump.</t>
  </si>
  <si>
    <t>Pump Equilibration Buffer Flush Execution</t>
  </si>
  <si>
    <t>Begin flushing depth filters with 8011771 to bleed air. Increase to Target Flow Rate from Step 18.5. Continue until minimum flush volume achieved. Record volume, pH (4.35–4.55), and conductivity (0.4–1.2 mS/cm).</t>
  </si>
  <si>
    <t>SAP Consumption - Pump Path</t>
  </si>
  <si>
    <t>SAP Consumption documentation for pump path buffer and WFI usage.</t>
  </si>
  <si>
    <t>Pump Path Completion / Skid N/A</t>
  </si>
  <si>
    <t>Disconnect 8011771 and flow meter from pump inlet. N/A Steps 19.14 through 19.22, then proceed to Section 20 to begin depth filtering the IDB Affinity Product.</t>
  </si>
  <si>
    <t>Skid Connection - WFI</t>
  </si>
  <si>
    <t>Depth Filtration Flush – In-line with Skid. Connect outlet of WFI obtained in Step 19.1 to Inlet A1 of chromatography skid. Verify conductivity meter on skid is within calibration interval.</t>
  </si>
  <si>
    <t>Skid Bypass WFI Flush</t>
  </si>
  <si>
    <t>Skid flush WFI flow path: Inlet A1 → Airtrap Bypass → Load Filter Bypass → Column Bypass Both → Outlet 4. Flush for at least 15 L. Record WFI volume.</t>
  </si>
  <si>
    <t>Skid Inline WFI Flush</t>
  </si>
  <si>
    <t>WFI Flush flow path: Inlet A1 → Airtrap Inline → Load Filter Bypass → Column Downflow → Outlet 4. Flush with ≥15 L of WFI. Record volume.</t>
  </si>
  <si>
    <t>Pod Holder Connection - Skid</t>
  </si>
  <si>
    <t>Connect inlet of Pod holder to chromatography skid Column Top position. Direct outlet of Pod holder to Column Bottom position. Reset Totalizer A on chromatography skid.</t>
  </si>
  <si>
    <t>Skid Pod WFI Flush</t>
  </si>
  <si>
    <t>Pod WFI Flush flow path: Inlet A1 → Airtrap Inline → Load Filter Bypass → Column Downflow → Outlet 4. Slowly flush depth filters with WFI, bleed air, increase to Target Flow Rate from Step 18.5. Record WFI flush volume (≥ Step 18.5) and conductivity (≤ 1 mS/cm).</t>
  </si>
  <si>
    <t>Skid Buffer Connection</t>
  </si>
  <si>
    <t>Disconnect WFI from Inlet A1. Connect 8011771 to Inlet A1 of chromatography skid. Reset Totalizer A.</t>
  </si>
  <si>
    <t>Skid Pod Equilibration Buffer Flush</t>
  </si>
  <si>
    <t>Pod Buffer Flush (8011771): Inlet A1 → Airtrap Inline → Load Filter Bypass → Column Downflow → Outlet 4. Increase to Target Flow Rate from Step 18.5. Continue flushing until minimum equil flush volume achieved. Zero UV meter. Record volume, pH (4.35–4.55), and conductivity (0.4–1.2 mS/cm).</t>
  </si>
  <si>
    <t>SAP Consumption - Skid Path</t>
  </si>
  <si>
    <t>SAP Consumption documentation for skid path buffer and WFI usage.</t>
  </si>
  <si>
    <t>Skid Path Completion</t>
  </si>
  <si>
    <t>Disconnect buffer 8011771 from chromatography skid. Proceed to Section 20: Filtration of the IDB Affinity Product.</t>
  </si>
  <si>
    <t>Pre-Filtration Load Verification</t>
  </si>
  <si>
    <t>Ensure IDF Load Product Pool (Step 16.8) ≤ Max Load Volume (Step 18.7); if not sized correctly, contact supervisor.</t>
  </si>
  <si>
    <t>Filtration Setup - Chromatography Skid</t>
  </si>
  <si>
    <t>Connect outlet of IDB Affinity Product Vessel to Inlet A1 of skid; ensure Column Inlet hose capped.</t>
  </si>
  <si>
    <t>Filtration Setup - Quattroflow/Peristaltic Pump</t>
  </si>
  <si>
    <t>If using Quattroflow: clean per SOP-0080390. If peristaltic: set up per SOP-0080839.</t>
  </si>
  <si>
    <t>Filtration Setup - Transfer Panel (Pressure Transfer)</t>
  </si>
  <si>
    <t>Connect Affinity Vessel outlet to depth filter inlet; connect filter outlet to IDF collection vessel.</t>
  </si>
  <si>
    <t>IDF Filtration Start</t>
  </si>
  <si>
    <t>Begin filtering IDB Affinity Vessel contents into IDF Product Collection Vessel; record start time, initial pressures.</t>
  </si>
  <si>
    <t>Filtration Pressure Monitoring</t>
  </si>
  <si>
    <t>Monitor filtration pressures at intervals; record upstream/downstream pressures, flow rates.</t>
  </si>
  <si>
    <t>Collection Vessel Weight Monitoring</t>
  </si>
  <si>
    <t>Monitor IDF collection vessel weight during filtration.</t>
  </si>
  <si>
    <t>Filtration Completion Verification</t>
  </si>
  <si>
    <t>Verify filtration complete; record end time, total throughput.</t>
  </si>
  <si>
    <t>Tank Tare Weight (if applicable)</t>
  </si>
  <si>
    <t>If collection vessel is tank: vent per SOP-0107095 and record tare weight in Step 17.4. If bag: continue to Step 20.10.</t>
  </si>
  <si>
    <t>Post-Filtration Product Weight</t>
  </si>
  <si>
    <t>Record IDF product weight after filtration.</t>
  </si>
  <si>
    <t>Depth Filter Chase Method Selection</t>
  </si>
  <si>
    <t>Select Pod chase method: chromatography skid or offline pump.</t>
  </si>
  <si>
    <t>Depth Filter Chase Execution</t>
  </si>
  <si>
    <t>Perform depth filter chase with 8011771; record chase volume, end time. Chase End Time used for Attachment 10 hold time tracking.</t>
  </si>
  <si>
    <t>Post-Chase Depressurization</t>
  </si>
  <si>
    <t>Depressurize and dispose of pod filters; depressurize Affinity Vessel if pressure transfer used.</t>
  </si>
  <si>
    <t>Post-Chase Product Weight</t>
  </si>
  <si>
    <t>Record product weight after chase.</t>
  </si>
  <si>
    <t>Product Mixing</t>
  </si>
  <si>
    <t>Mix product for at least 15 minutes per SOP-0080423 (LevTech), SOP-0107102 (Magnetic Mixer), or SOP-0107095 (tank).</t>
  </si>
  <si>
    <t>Post-Filtration In-Process Testing</t>
  </si>
  <si>
    <t>Perform in-process testing on filtered product.</t>
  </si>
  <si>
    <t>IDF Product Mass and Concentration for Yield</t>
  </si>
  <si>
    <t>Record IDF Product Mass and concentration values for Attachment 11 yield calculations.</t>
  </si>
  <si>
    <t>IDF Product Sample Volume Removal</t>
  </si>
  <si>
    <t>Remove at least (8011762-10-IDF) sample volume per Attachment 4 and SOP-0107097; collect non-routine samples per Attachment 5 if requested.</t>
  </si>
  <si>
    <t>IDF Product Sample Labeling</t>
  </si>
  <si>
    <t>Label samples per SOP-0107056; create separate labels for -30-IDF-ALXN samples with all required info.</t>
  </si>
  <si>
    <t>IDF Product pH/Conductivity/Temperature</t>
  </si>
  <si>
    <t>Measure pH, conductivity, and temperature of IDF product sample.</t>
  </si>
  <si>
    <t>IDF Product SoloVPE Concentration</t>
  </si>
  <si>
    <t>Perform SoloVPE protein concentration per SOP-0107091.</t>
  </si>
  <si>
    <t>IDF Product DLIMS Sample Submission</t>
  </si>
  <si>
    <t>Submit all IDF product samples per Attachment 4 via DLIMS.</t>
  </si>
  <si>
    <t>IDF Product Post-Sampling Weight</t>
  </si>
  <si>
    <t>Record net weight of filtered IDF Product after sampling; transcribe into Attachment 10 and 11.</t>
  </si>
  <si>
    <t>IDF Product Storage</t>
  </si>
  <si>
    <t>Store IDF product at 2-8°C or 15-25°C; record storage start time in Attachment 10; storage start time = Depth Filter Chase End Time (Step 20.12) for 15-25°C product.</t>
  </si>
  <si>
    <t>Post-IDF Chromatography Skid Sanitization and Storage</t>
  </si>
  <si>
    <t>If skid used for IDF: disconnect buffers, end transfer phases, flush with WFI, sanitize with 0.5N NaOH, store per SOP-0080402/SOP-0122998. N/A section if skid not used. Multi-step procedure with 11 sub-actions including pump operations, tubing disconnect, waste disposal.</t>
  </si>
  <si>
    <t>Chromatography Skid Buffer Setup</t>
  </si>
  <si>
    <t>Connect buffers and set up skid per SOP-0080402 to perform sanitization and storage. Record information for Chromatography Skid Sanitization (A0191-D: 1.0 N NaOH) and Storage (A0014-D: 0.1 N NaOH) buffers.</t>
  </si>
  <si>
    <t>SAP Consumption - Sanitization Buffers</t>
  </si>
  <si>
    <t>SAP Consumption documentation for sanitization and storage buffers.</t>
  </si>
  <si>
    <t>Sanitization and Storage Recipe Execution</t>
  </si>
  <si>
    <t>Perform PK4001_SANI_STORE recipe per SOP-0080402. Record Start Time and End Time.</t>
  </si>
  <si>
    <t>Post-Sanitization Breakdown</t>
  </si>
  <si>
    <t>End any transfer phases used for sanitization and storage. Disconnect all tubing and buffers. Store chromatography skid per SOP-0080402.</t>
  </si>
  <si>
    <t>Batch Production Record Review</t>
  </si>
  <si>
    <t>Final record review: verify all sections complete, all attachments filled, all signatures obtained; Production and QA review and approval.</t>
  </si>
  <si>
    <t>Total Capture Mass Documentation</t>
  </si>
  <si>
    <t>Record total capture mass loaded (g).</t>
  </si>
  <si>
    <t>Supporting Documentation Verification</t>
  </si>
  <si>
    <t>Ensure any additional supporting documentation is listed and attached to this Batch Production Record.</t>
  </si>
  <si>
    <t>Yield Verification and BPR Review</t>
  </si>
  <si>
    <t>Verify that the ALXN2230 IDB Affinity unit operation is yield-appropriate. Review the Batch Production Record for accuracy and completeness.</t>
  </si>
  <si>
    <t>Attachment 2: CM - Last Day of Production Perfusion Sampling</t>
  </si>
  <si>
    <t>Comprehensive sampling plan for last day of Production Perfusion: GREENFORM Template DLIMS submission, STAT samples (bold), pre-loading -30-CM-ALXN samples, requires ≤-65°C transfer within 2 days.</t>
  </si>
  <si>
    <t>Attachment 3: IDB Affinity Product Quality Sampling Plan - Final Pool</t>
  </si>
  <si>
    <t>Final product pool sampling plan: DLIMS submissions, STAT samples, pre-loading -30-ALXN samples, Brij-L9 Impurity Testing, 'in-process testing' designation.</t>
  </si>
  <si>
    <t>Attachment 4: IDF Product Quality Sampling Plan</t>
  </si>
  <si>
    <t>IDF product sampling plan: GREENFORM Template, STAT handling, pre-loading -30-IDF-ALXN samples.</t>
  </si>
  <si>
    <t>2-page form: document justification, re-adjust product weight, DLIMS per SOP-0080295, record project/sample numbers.</t>
  </si>
  <si>
    <t>3-page tubing/hosing tracking: Part No., Batch No., Exp. Date, autoclave info for all transfer tubing used.</t>
  </si>
  <si>
    <t>Recirculation worksheet: gamma irradiated tubing tracking (not required to be autoclaved), mixing duration calculations (end - start in minutes).</t>
  </si>
  <si>
    <t>Attachment 8: Adjusted Flow Rate/Linear Velocity Table</t>
  </si>
  <si>
    <t>11-page iterative flow rate/velocity adjustment tables: CM Discard (Buffer Pump 1/Product Pump 1) and PAK IDB Recipe adjustments; linear velocity adjusted only when phase not running, flow rate adjustable during phase.</t>
  </si>
  <si>
    <t>Attachment 10: IDB Affinity Product Hold Times</t>
  </si>
  <si>
    <t>Product hold time tracking at 2-8°C and 15-25°C: storage start/end times, duration per temperature, combined duration; new entry when temp changes.</t>
  </si>
  <si>
    <t>Attachment 11: Yield Calculations</t>
  </si>
  <si>
    <t>9-table (3-page) yield calculation worksheet: Affinity Product Mass Pre/Post-Sampling, Affinity Step Yield, Affinity MPR Yield, IDF Load Mass, IDF Product Mass Pre/Post-Sampling, IDF Step Yield, IDF MPR Yield. Cross-referenced multi-step calculations.</t>
  </si>
  <si>
    <t>Attachment 13: Comments Section</t>
  </si>
  <si>
    <t>17-table (15+ page) free-text comments: deviations, supervisor decisions, out-of-spec events, flow rate changes, manual load interventions, Column Load % changes, additional notes.</t>
  </si>
  <si>
    <t>Conjugation 1 Batch Record Analysis</t>
  </si>
  <si>
    <t>Batch ID: PN - 8011882</t>
  </si>
  <si>
    <t>Isolator Setup</t>
  </si>
  <si>
    <t>Verify that the Isolator Glove Bag has been set up per SOP-0080310.</t>
  </si>
  <si>
    <t>Obtain the following materials required to connect the 2L flasks to the inlet of the Conjugation Vessel in Ventilated Enclosure 1 (VE1). Record the information below.</t>
  </si>
  <si>
    <t>Obtain one (1) 2L Flask with attached C-Flex and Acro-50 (PN: 4101926) and place in the Isolator.</t>
  </si>
  <si>
    <t>Set Up for Intermediate UFDF / VE1 Setup</t>
  </si>
  <si>
    <t>Set up the Single-Use Tangential Flow Filtration (TFF) system (DF-4002) according to SOP-0080204.</t>
  </si>
  <si>
    <t>Obtain one (1) 500g VWR-500P model single use scale and record the work order number, part number, supplier lot number and serial number below.</t>
  </si>
  <si>
    <t>Once all materials are placed in the isolator, use a marker to create a visual guide for where the stir bar needs to align.</t>
  </si>
  <si>
    <t>mAb Thaw and Drug Linker Information</t>
  </si>
  <si>
    <t>Confirm with a supervisor the amount of INT-031 mAb intermediate and AZ14381262 drug linker (PN: 8012144) to thaw.</t>
  </si>
  <si>
    <t>Calculate the moles of expected AZ14381262 drug linker (PN: 8012144).</t>
  </si>
  <si>
    <t>Attachment 18</t>
  </si>
  <si>
    <t>Prepare the vessels of INT-031 mAb Intermediate</t>
  </si>
  <si>
    <t>Obtain one (1) appropriately sized Mobius bag per Section 4 Bill of Materials and record the information below.</t>
  </si>
  <si>
    <t>Calculate the volume of the mAb intermediate for “Batch 1” listed in Step 11.13 and record the Batch Number below:</t>
  </si>
  <si>
    <t>pH-Adjusted Diluted mAb Vessel Setup</t>
  </si>
  <si>
    <t>Set up the pH-Adjusted Diluted mAb Vessel per SOP-0080081.</t>
  </si>
  <si>
    <t>mAb Dilution</t>
  </si>
  <si>
    <t>Record the protein concentration, DLIMS Project, and Sample ID of the diluted product from 8011882-20 per Attachment 1: Sampling Record.</t>
  </si>
  <si>
    <t>Install the pH-Adjustment Diluted mAb Vessel and set up the Mobius mixer per SOP-0080081 and SOP-0080504.</t>
  </si>
  <si>
    <t>Record pH Adjustment in Step 13.10. Follow the steps below when performing the adjustment.</t>
  </si>
  <si>
    <t>mAb Reduction</t>
  </si>
  <si>
    <t>Change the temperature and alarm set points of the Intermediate UFDF vessel.</t>
  </si>
  <si>
    <t>Obtain a sample assembly (PN: 6002363 or 6002346) and record the information below.</t>
  </si>
  <si>
    <t>WFI &amp; Buffer Connections / UFDF Equilibration</t>
  </si>
  <si>
    <t>WFI Flush Container Set Up</t>
  </si>
  <si>
    <t>Obtain one (1) reducer (PN: 6003446, 6002392, or Attachment 35 in SOP-0081075) and record the information below.</t>
  </si>
  <si>
    <t>Ensure the flow paths from the buffers connected in Steps 17.8 - 17.10 are open and unobstructed.</t>
  </si>
  <si>
    <t>Connect a T or a Y to the outlet of the Intermediate UFDF Vessel in Step 9.1.</t>
  </si>
  <si>
    <t>Intermediate UFDF and Recovery</t>
  </si>
  <si>
    <t>Ensure the vessel is set up as indicated below.</t>
  </si>
  <si>
    <t>Install the Intermediate UFDF Vessel Mobius bag and set up the Mobius mixer per SOP-0080081, SOP-0080504 and SOP-0080189.</t>
  </si>
  <si>
    <t>NOTES on AT03:</t>
  </si>
  <si>
    <t>Once sample measurement is in pH range (Step 18.17 or 18.23), press “OK” to acknowledge the user prompt and advance the recipe to Concentration 2.</t>
  </si>
  <si>
    <t>Obtain two (2) UFDF capsules per Section 4 Bill of Materials. Record the filter information below.</t>
  </si>
  <si>
    <t>Check One</t>
  </si>
  <si>
    <t>Install the capsules obtained in Step 9.8 onto the SUTFF system per SOP-0080204.</t>
  </si>
  <si>
    <t>Intermediate UFDF Dilution</t>
  </si>
  <si>
    <t>Record the results from sample designation, 8011882-60*.</t>
  </si>
  <si>
    <t>Ensure the SUTFF system is connected and responding to the ICS per SOP-0010189.</t>
  </si>
  <si>
    <t>Pre-Processing for Oxidation</t>
  </si>
  <si>
    <t>Change the temperature and alarm set points of the VE 1 Conjugation vessel.</t>
  </si>
  <si>
    <t>On the Y that is connected to the Intermediate UFDF Vessel outlet, connect the Y end that is free of welded attachments to the Recirculation Line on the SUTFF skid.</t>
  </si>
  <si>
    <t>Oxidation</t>
  </si>
  <si>
    <t>Calculate max, min</t>
  </si>
  <si>
    <t>Connect tubing to the Permeate 1 outlet on the Permeate Manifold. Then, connect the tubing to an elbow and connect the elbow to a drain.</t>
  </si>
  <si>
    <t>DMSO Aliquoting</t>
  </si>
  <si>
    <t>Obtain and record the tare weight of the required number of 2L non-Baffled PETG Flasks per Step 23.23.</t>
  </si>
  <si>
    <t>Set up a Stedim bag to use as the flush waste for WFI, Equilibration, and Prime DF Line steps.</t>
  </si>
  <si>
    <t>Prepare 25 mM Drug Linker in DMSO</t>
  </si>
  <si>
    <t>Set up the scale for the Drug linker Weigh Out</t>
  </si>
  <si>
    <t>Assemble 2 Flush sampling ports with Y connectors, tubing, hose barbs, and cable ties per the image in this step.</t>
  </si>
  <si>
    <t>Obtain the drug linker AZ14381262 PN: 8012144 to thaw per Step 11.2.</t>
  </si>
  <si>
    <t>Set up VE 1 drain for filter integrity testing of the bulk filter in PN: 8011885 – AZD9448 Formulation and Bulk Filtration (HCS, Process 1):</t>
  </si>
  <si>
    <t>Attachment 4: Hold Times - mAb Intermediate</t>
  </si>
  <si>
    <t>Hold time tracking for mAb Intermediate at R.T. and 2-8°C</t>
  </si>
  <si>
    <t>Obtain one (1) appropriately sized Mobius bag per Section 4 and record the information below.</t>
  </si>
  <si>
    <t>If crude conjugate non-routine samples are requested per memo and Attachment 2:  Non-Routine Sampling Record, perform the following. Otherwise, N/A this step.</t>
  </si>
  <si>
    <t>Obtain a Y Assembly (PN: 6002381) and record the information below.</t>
  </si>
  <si>
    <t>Obtain two (2) reducers (PN: 6003446, 6002392, or Attachment 35 in SOP-0081075) and record the information below.</t>
  </si>
  <si>
    <t>Install the Conjugation Vessel Mobius bag and set up the Mobius mixer per SOP-0080081, SOP-0080504 and SOP-0080189.</t>
  </si>
  <si>
    <t>Return the TCU back to controlling VE3 for Reduction temperature control in Intermediate UFDF Vessel.</t>
  </si>
  <si>
    <t>Cover the Conjugation Vessel from light as much as possible.</t>
  </si>
  <si>
    <t>Verify the target grams of INT-031 and target grams of AZ14381262 drug linker (PN: 8012144) to be conjugated aligns with the memo provided by Tech Transfer.</t>
  </si>
  <si>
    <t>Calculate the target net weight of pure AZ14381262 drug linker (PN: 8012144) to weigh out in the flask based on the expected recovery ratio of 97%.</t>
  </si>
  <si>
    <t>Calculate the required moles of INT-031 mAb needed for the AZ14381262 drug linker (PN: 8012144) solution.</t>
  </si>
  <si>
    <t>Calculate the target number of moles of INT-031 mAb to transfer into VE1.</t>
  </si>
  <si>
    <t>Ensure the moles of mAb to transfer to VE1 Step 11.7 are within the min and max range of moles required in Step 11.6.</t>
  </si>
  <si>
    <t>Transfer the INT-031 mAb intermediate to 2-8 ºC storage:</t>
  </si>
  <si>
    <t>Transfer the mAb intermediate to 15-25 ºC storage:</t>
  </si>
  <si>
    <t>Calculate the net weight of the mAb intermediate thawed.</t>
  </si>
  <si>
    <t>Record the concentration of the INT-031 mAb intermediate from DLIMS.</t>
  </si>
  <si>
    <t>Calculate the mass of the mAb intermediate for “Batch 1” and record the Batch Number below:</t>
  </si>
  <si>
    <t>Calculate the volume of the mAb intermediate for “Batch 2” listed in Step 11.13, if applicable and record the Batch Number below:</t>
  </si>
  <si>
    <t>Calculate the mass of the mAb intermediate for “Batch 2”, if applicable, and record the Batch Number below:</t>
  </si>
  <si>
    <t>Calculate the total mass of the pool of INT-031 mAb Intermediate of “Batch 1” and “Batch 2”, if applicable.</t>
  </si>
  <si>
    <t>Calculate the total volume of the pool of INT-031 mAb Intermediate of “Batch 1” and “Batch 2”, if applicable.</t>
  </si>
  <si>
    <t>Calculate the concentration of the mAb intermediate pool.</t>
  </si>
  <si>
    <t>Record the BSC ID below to transfer INT-031 in the BSC. Follow SOP-0107438 for cleaning and operation of the BSC.</t>
  </si>
  <si>
    <t>Record the duration of 15-25 ºC Storage until now.</t>
  </si>
  <si>
    <t>Set up for the transfer of mAb intermediate to the pH-Adjusted Diluted mAb Vessel:</t>
  </si>
  <si>
    <t>Connect the G to G Runner to the CryoVault with INT-031.</t>
  </si>
  <si>
    <t>Obtain and record the Tare Weight of the pH-Adjusted Diluted mAb Vessel per SOP-0107056.</t>
  </si>
  <si>
    <t>Set up a peristaltic pump to transfer the INT-031 mAb Intermediate to the pH-Adjusted Diluted mAb Vessel.</t>
  </si>
  <si>
    <t>Transfer the amount of INT-031 Product thawed from Step 11.12 to the pH-Adjusted Diluted mAb Vessel.</t>
  </si>
  <si>
    <t>mAb Intermediate Sampling (8011882-10)</t>
  </si>
  <si>
    <t>Remove at least the sample volume for 8011882-10 per Attachment 1: Sampling Record and SOP-0107097.</t>
  </si>
  <si>
    <t>Aliquot the sample (8011882-10) per Attachment 1: Sampling Record.</t>
  </si>
  <si>
    <t>Ensure the sampling time and location are updated in DLIMS.</t>
  </si>
  <si>
    <t>Obtain and record the net weight of mAb in pH-Adjusted Diluted mAb Vessel after transfer and -10 sampling, and before dilution.</t>
  </si>
  <si>
    <t>Calculated the volume of mAb in pH-Adjusted Dilution mAb Vessel after -10 sampling.</t>
  </si>
  <si>
    <t>Calculated the mass of mAb in pH-Adjusted Diluted mAb Vessel after -10 sampling.</t>
  </si>
  <si>
    <t>Calculate the expected total volume after dilution.</t>
  </si>
  <si>
    <t>Calculate the total volume of Dilution buffer that is needed.</t>
  </si>
  <si>
    <t>Calculate the total weight of dilution buffer needed</t>
  </si>
  <si>
    <t>Ensure that the net weight (Step 12.12) and tare weight (Step 12.5) from the previous steps are recorded on the pH-Adjusted Diluted mAb Vessel label.</t>
  </si>
  <si>
    <t>Weld or attach the dilution buffer (PN: 8012600, 20 mM sodium Phosphate, 1mM EDTA, pH 8.2) to the pump runner.</t>
  </si>
  <si>
    <t>Thread the tubing through a peristaltic pump following SOP-0080839.</t>
  </si>
  <si>
    <t>Ensure agitation is on the pH-Adjusted Diluted mAb Vessel.</t>
  </si>
  <si>
    <t>Begin transferring PN: 8012600, 20 mM sodium Phosphate, 1mM EDTA, pH 8.2 into the pH-Adjusted Diluted mAb Vessel while agitating until the target weight of buffer from Step 12.17 has been reached o...</t>
  </si>
  <si>
    <t>Record the Net Weight of Dilution Buffer Added.</t>
  </si>
  <si>
    <t>Diluted mAb Sampling (8011882-20)</t>
  </si>
  <si>
    <t>Remove at least the sample volume for 8011882-20 per Attachment 1: Sampling Record and SOP-0107097.</t>
  </si>
  <si>
    <t>Aliquot the sample (8011882-20) per Attachment 1: Sampling Record.</t>
  </si>
  <si>
    <t>Calculate the Net Weight of the Diluted mAb Product in the pH-Adjusted Diluted mAb Vessel before -20 sampling.</t>
  </si>
  <si>
    <t>Calculate the volume of Diluted mAb before -20 sampling.</t>
  </si>
  <si>
    <t>Calculate the volume of Diluted mAb after -20 sampling.</t>
  </si>
  <si>
    <t>Calculate the weight of Diluted mAb Product after -20 sampling.</t>
  </si>
  <si>
    <t>Calculate the total mass of mAb after -20 sampling.</t>
  </si>
  <si>
    <t>Confirm that the pH meter and the conductivity meter have been standardized per SOP-0080297.</t>
  </si>
  <si>
    <t>Measure the pH, conductivity, and temperature of the diluted mAb product. Record the results below.</t>
  </si>
  <si>
    <t>Attach tubing/hosing to the outlet of 1 M Tris Base (PN: A0101-D) buffer vessel to the dilution vessel. If needed, record additional tubing used in Attachment 3:  Transfer Tubing/Hosing Information .</t>
  </si>
  <si>
    <t>Ensure agitation is on.</t>
  </si>
  <si>
    <t>Prime the tubing/hosing leading to the Adjustment Vessel with 1 M Tris Base</t>
  </si>
  <si>
    <t>Tare the base buffer scale.</t>
  </si>
  <si>
    <t>Calculate the required amount of base to be added based on the addition ratio.</t>
  </si>
  <si>
    <t>Weight of Diluted mAb after -20 sampling</t>
  </si>
  <si>
    <t>Determine initial base addition weight. After initial addition, more base may be added until the target pH is reached.</t>
  </si>
  <si>
    <t>Calculate the net weight of the pH-Adjusted Diluted mAb.</t>
  </si>
  <si>
    <t>Calculate the volume of pH-Adjusted Diluted mAb.</t>
  </si>
  <si>
    <t>Calculate the theoretical concentration of mAb in pH-Adjusted Diluted mAb product pool.</t>
  </si>
  <si>
    <t>Obtain and record tare weight of the Intermediate UFDF Vessel.</t>
  </si>
  <si>
    <t>Intermediate UFDF Vessel Tare Weight</t>
  </si>
  <si>
    <t>Tare the Intermediate UFDF Vessel.</t>
  </si>
  <si>
    <t>Obtain a product filter listed in Section 4 for the filtration of the pH-Adjusted Diluted mAb and record information below.</t>
  </si>
  <si>
    <t>Connect the outlet of the pH-Adjusted Diluted mAb Vessel to the inlet of filter obtained in Step 13.16 using sterile tubing, if needed.</t>
  </si>
  <si>
    <t>Weld the outlet of the filter obtained in Step 13.16 to a non-diptube inlet on the Intermediate UFDF vessel.</t>
  </si>
  <si>
    <t>Verify that the Intermediate UFDF Vessel weight reads zero before starting the transfer of Diluted mAb Intermediate.</t>
  </si>
  <si>
    <t>Transfer the entire contents of the pH-Adjuested Diluted mAb Vessel into the Intermediate UFDF Vessel.</t>
  </si>
  <si>
    <t>At the end of filtration, disconnect the inlet of the product filter from the outlet of the Dilution Vessel and drain the product filter into the Intermediate UFDF Vessel as much as possible.</t>
  </si>
  <si>
    <t>Record below the temperature of pH-Adjusted Diluted mAb in Intermediate UFDF Vessel.</t>
  </si>
  <si>
    <t>Pre-Processing for mAb Reduction</t>
  </si>
  <si>
    <t>pH-Adjusted Diluted mAb Sampling (8011882-30)</t>
  </si>
  <si>
    <t>Remove at least the sample volume for 8011882-30 per Attachment 1: Sampling Record and SOP-0107097.</t>
  </si>
  <si>
    <t>Aliquot the sample (8011882-30) per Attachment 1: Sampling Record.</t>
  </si>
  <si>
    <t>Record the Net Weight of the pH-Adjusted Diluted mAb after sampling.</t>
  </si>
  <si>
    <t>Calculate the volume of mAb in Intermediate UFDF vessel after -30 sampling.</t>
  </si>
  <si>
    <t>Calculate the mass of the mAb in Intermediate UFDF vessel prior to reduction.</t>
  </si>
  <si>
    <t>Calculate the moles of mAb in the Intermediate UFDF vessel.</t>
  </si>
  <si>
    <t>Calculate the moles of DTT needed during reduction.</t>
  </si>
  <si>
    <t>Calculate the required amount of reduction buffer 250mM DTT (8012566) to add.</t>
  </si>
  <si>
    <t>Before proceeding with Reduction, check on the status of the Intermediate UFDF setup.</t>
  </si>
  <si>
    <t>Record agitation setting below.</t>
  </si>
  <si>
    <t>Weld or attach the DTT Buffer (PN: 8012566, 250 mM DTT) to one of the non-diptube inlets on Intermediate UFDF vessel labelled Reduction Buffer Inlet.</t>
  </si>
  <si>
    <t>Prime the tubing/hosing leading to the Intermediate UFDF Vessel with the buffer below per SOP-0080839.</t>
  </si>
  <si>
    <t>Verify that the agitation is on in Intermediate UFDF Vessel.</t>
  </si>
  <si>
    <t>Record the product temperature in the Intermediate UFDF vessel.</t>
  </si>
  <si>
    <t>Transfer by weight PN: 8012566, 250 mM DTT into the mixing vessel while agitating until the target net weight from Step 14.10 is reached.</t>
  </si>
  <si>
    <t>Record the time solution transfer ended.</t>
  </si>
  <si>
    <t>Calculate the maximum, minimum, and target time to complete the first DV exchange.</t>
  </si>
  <si>
    <t>Record the temperature of the solution at the beginning of Reduction incubation.</t>
  </si>
  <si>
    <t>Overnight storage instructions of Reduced mAb</t>
  </si>
  <si>
    <t>Overnight Storage Start Time / Date *</t>
  </si>
  <si>
    <t>Record the net weight of Reduced mAb.</t>
  </si>
  <si>
    <t>Calculate the volume of Reduced mAb.</t>
  </si>
  <si>
    <t>Pre-Processing for Intermediate UFDF</t>
  </si>
  <si>
    <t>Reduced mAb Sampling (8011882-40)</t>
  </si>
  <si>
    <t>Ensure that Reduced mAb samples (sample designation 8011882-40) are taken after the Reduction NOR minimum incubation time in Step 15.10.</t>
  </si>
  <si>
    <t>Aliquot the sample (8011882-40) per Attachment 1: Sampling Record.</t>
  </si>
  <si>
    <t>Calculate the volume of Reduced mAb after -40 sampling.</t>
  </si>
  <si>
    <t>Once the Reduction target incubation time has been achieved, temperature control is no longer needed.</t>
  </si>
  <si>
    <t>Ensure the Single Use Tangential Flow Filtration (TFF) system (DF-4002) is assembled according to SOP-0080204.</t>
  </si>
  <si>
    <t>Calculate the minimum membrane surface area needed.</t>
  </si>
  <si>
    <t>Calculate the total surface area of installed capsules below.</t>
  </si>
  <si>
    <t>Verify total membrane area and Kfactors have been entered into the skid per</t>
  </si>
  <si>
    <t>Calculate the Total Hold Up Volume of the TFF System.</t>
  </si>
  <si>
    <t>NOTE: Steps 16.14 through 16.24 can be performed concurrently with Section 17.</t>
  </si>
  <si>
    <t>Calculate the product volume in the Intermediate UFDF Vessel and the UFDF system after Concentration 1.</t>
  </si>
  <si>
    <t>Calculate the target volume in the Intermediate UFDF Vessel after Concentration 1 after accounting for the TFF system hold-up volume.</t>
  </si>
  <si>
    <t>Calculate the target weight in the Intermediate UFDF Vessel after Concentration 1.</t>
  </si>
  <si>
    <t>Calculate the permeate volume at the end of reduction incubation.</t>
  </si>
  <si>
    <t>Calculate the permeate volume range for after diafiltration.</t>
  </si>
  <si>
    <t>Calculate the product volume in the Intermediate UFDF Vessel and the UFDF system after Concentration 2.</t>
  </si>
  <si>
    <t>Calculate the product volume in the Intermediate UFDF Vessel after Concentration 2 after accounting for the TFF system hold-up volume.</t>
  </si>
  <si>
    <t>Calculate the product weight in the Intermediate UFDF Vessel after Concentration 2.</t>
  </si>
  <si>
    <t>Calculate the product volume after Recovery.</t>
  </si>
  <si>
    <t>Calculate the product weight after Recovery.</t>
  </si>
  <si>
    <t>Calculate the Adjusted Target Recovery Product weight to prevent potential overshoot.</t>
  </si>
  <si>
    <t>NOTE: Section 17 can be performed concurrently with Steps 16.14 through 16.24.</t>
  </si>
  <si>
    <t>Confirm that the pH and conductivity meter has been standardized per SOP-0080297.</t>
  </si>
  <si>
    <t>Confirm that the thermometer is within its calibration interval. Record the equipment ID of the thermometer used.</t>
  </si>
  <si>
    <t>Standardize the DF-4002 UV meter probe per SOP-0080204.</t>
  </si>
  <si>
    <t>Manifold Connections:</t>
  </si>
  <si>
    <t>The Retentate Return line should initially be connected to a liquid waste container using sterile tubing.</t>
  </si>
  <si>
    <t>Download and start the AZD9448_Equil recipe from the DF-4002 SOP-0080204.</t>
  </si>
  <si>
    <t>Verify the correct valves are open during the execution of each step of the recipe.</t>
  </si>
  <si>
    <t>WFI Flush (WFI)</t>
  </si>
  <si>
    <t>Prime DF Line (8009044: 20mM Sodium Phosphate, 1 mM EDTA, pH 7.0)</t>
  </si>
  <si>
    <t>During the Prime DF Line step, remove a sample of the diafiltration buffer from the Retentate Waste line flush sampling port and measure pH, conductivity, and temperature of the sample.</t>
  </si>
  <si>
    <t>Equilibration (8009044: 20mM Sodium Phosphate, 1 mM EDTA, pH 7.0)</t>
  </si>
  <si>
    <t>At the end of the Equilibration step, the pump stops and a user prompt will appear.</t>
  </si>
  <si>
    <t>Record the measured pH, conductivity, and temperature of the equilibration buffer sample removed the from the permeate line.</t>
  </si>
  <si>
    <t>Download and start the AZD9448_Intermediate_UFDF recipe from the DF-4002 SOP-0080204.</t>
  </si>
  <si>
    <t>NOTE: DO NOT acknowledge the user prompt that appears at this step.</t>
  </si>
  <si>
    <t>Per SOP-0080204:</t>
  </si>
  <si>
    <t>Intermediate UFDF checklist</t>
  </si>
  <si>
    <t>NOTES on product volume:</t>
  </si>
  <si>
    <t>Perform the following before proceeding</t>
  </si>
  <si>
    <t>Recirculation</t>
  </si>
  <si>
    <t>Recirculation Start Time / Date</t>
  </si>
  <si>
    <t>Concentration 1</t>
  </si>
  <si>
    <t>Diafiltration (PN: 8009044, 20mM Sodium Phosphate, 1 mM EDTA, pH 7.0)</t>
  </si>
  <si>
    <t>Completion of the first diavolume</t>
  </si>
  <si>
    <t>At the end of the Diafiltration step, the pump will stop, and a user prompt will appear.</t>
  </si>
  <si>
    <t>Ensure that the volume at FQT02 has reached the target volume of 10.5 DVs calculated in Step 16.18.</t>
  </si>
  <si>
    <t>Obtain a 25 mL sample from both the retentate vessel and permeate line.</t>
  </si>
  <si>
    <t>Select an option to proceed:</t>
  </si>
  <si>
    <t>Manual Diafiltration (Steps 18.19 - 18.23)</t>
  </si>
  <si>
    <t>Open the following valves:</t>
  </si>
  <si>
    <t>Verify the following parameters and start (in the order listed) per SOP-0080204 to continue Diafiltration manually.</t>
  </si>
  <si>
    <t>Continue manual Diafiltration until the pH of the retentate and permeate are within the ranges specified.</t>
  </si>
  <si>
    <t>Concentration 2</t>
  </si>
  <si>
    <t>Prior to proceeding to Recovery:</t>
  </si>
  <si>
    <t>Recovery (8009044: 20mM Sodium Phosphate, 1 mM EDTA, pH 7.0)</t>
  </si>
  <si>
    <t>Recovery End</t>
  </si>
  <si>
    <t>Obtain and record the net weight of the Intermediate UFDF Vessel from WIT-02.</t>
  </si>
  <si>
    <t>Intermediate UFDF Recovery Product Sampling (8011882-50)</t>
  </si>
  <si>
    <t>Remove at least the sample volume for 8011882-50 per Attachment 1: Sampling Record and SOP-0107097.</t>
  </si>
  <si>
    <t>Aliquot the sample (8011882-50) per Attachment 1: Sampling Record.</t>
  </si>
  <si>
    <t>Record the Net Weight of the Recovery product after sampling.</t>
  </si>
  <si>
    <t>Calculate the Volume of Recovery Product after sampling.</t>
  </si>
  <si>
    <t>Record the concentration of the Recovery product (8010767–50).</t>
  </si>
  <si>
    <t>Determine the Total Grams of Recovery Product.</t>
  </si>
  <si>
    <t>Determine the Intermediate UFDF product volume range.</t>
  </si>
  <si>
    <t>Determine the Intermediate UFDF Product weight range.</t>
  </si>
  <si>
    <t>Determine the amount of dilution buffer to add by weight.</t>
  </si>
  <si>
    <t>Dilution buffer will be added by weight. Prior to proceeding to dilution set-up, ensure the following:</t>
  </si>
  <si>
    <t>Dilution Set-up</t>
  </si>
  <si>
    <t>Tare (zero) the Retentate Vessel scale.</t>
  </si>
  <si>
    <t>Open the inlet to the Intermediate UFDF Vessel and pump in the dilution buffer until the weight is within the range calculated in Step 19.4.</t>
  </si>
  <si>
    <t>Calculate the Net Weight of the Intermediate UFDF Product after Dilution.</t>
  </si>
  <si>
    <t>If the Net Weight of the Intermediate UFDF Product is outside the range calculated in Step 19.3, contact a supervisor and document actions in Attachment 8: Comment Section.</t>
  </si>
  <si>
    <t>Calculate the Volume of Intermediate UFDF Product before sampling</t>
  </si>
  <si>
    <t>Intermediate UFDF Diluted Product Sampling (8011882-60)</t>
  </si>
  <si>
    <t>After at least 20 minutes of mixing, remove sample via syringe from the sampling line on the Intermediate UFDF Vessel for sample 8011882-60 per SOP-0107097.</t>
  </si>
  <si>
    <t>Aliquot the sample (8011882-60) per Attachment 1: Sampling Record.</t>
  </si>
  <si>
    <t>Submit the sample to the storage location per SOP-0080295.</t>
  </si>
  <si>
    <t>Calculate the Intermediate UFDF product volume after -60 sampling.</t>
  </si>
  <si>
    <t>Intermediate UFDF Product Concentration (NOR 15.0 – 22.0 g/L) *</t>
  </si>
  <si>
    <t>Intermediate UFDF Product Sampling (8011882-70)</t>
  </si>
  <si>
    <t>Remove at least the sample volume for 8011882-70 per Attachment 1: Sampling Record and SOP-0107097.</t>
  </si>
  <si>
    <t>Aliquot the sample (8011882-70) per Attachment 1: Sampling Record.</t>
  </si>
  <si>
    <t>Submit the sample to the storage location indicated in DLIMS per SOP-0080295.</t>
  </si>
  <si>
    <t>Place remaining sample in a 50 mL conical and measure the pH, conductivity, and temperature. Record the pH Meter ID below.</t>
  </si>
  <si>
    <t>Calculate the Intermediate UFDF product volume after -70 sampling.</t>
  </si>
  <si>
    <t>Calculate the weight of Intermediate UFDF product.</t>
  </si>
  <si>
    <t>Check on the status of the VE 1 Conjugation Vessel setup.</t>
  </si>
  <si>
    <t>Transfer of Intermediate UFDF Product</t>
  </si>
  <si>
    <t>Calculate the volume of Intermediate UFDF Product to transfer into VE1.</t>
  </si>
  <si>
    <t>Calculate the weight of Intermediate UFDF Product to transfer into VE1.</t>
  </si>
  <si>
    <t>Calculate the Range of Weight of Intermediate UFDF Product to transfer to VE1.</t>
  </si>
  <si>
    <t>Weight of Intermediate UFDF Product to transfer to VE1</t>
  </si>
  <si>
    <t>Obtain and record tare weight of the VE 1 Conjugation Vessel.</t>
  </si>
  <si>
    <t>Obtain a product filter listed in Section 4 for the filtration of Intermediate UFDF Product and record information below.</t>
  </si>
  <si>
    <t>Thread the pump runner attached to the outlet of the Intermediate UFDF Vessel by a Y or a T through a peristaltic pump per SOP-0080839.</t>
  </si>
  <si>
    <t>Weld the outlet of the product filter to a non-dip tube inlet of the Conjugation Vessel in VE1.</t>
  </si>
  <si>
    <t>Tare the Conjugation Vessel.</t>
  </si>
  <si>
    <t>Ensure the Conjugation Vessel weight reads zero before starting the transfer of Intermediate UFDF Product.</t>
  </si>
  <si>
    <t>Start the transfer of the required amount of Intermediate UFDF Product calculated in Step 20.2.</t>
  </si>
  <si>
    <t>Obtain and record the net weight of the Intermediate UFDF product transferred into VE1 from the Conjugation Vessel scale.</t>
  </si>
  <si>
    <t>Disconnect the filter from the Conjugation Vessel in VE1 using the heat sealer or a clipster.</t>
  </si>
  <si>
    <t>Turn on the agitation on the Conjugation Vessel in VE1.</t>
  </si>
  <si>
    <t>Calculate the Mass of Intermediate UFDF product prior to Oxidation.</t>
  </si>
  <si>
    <t>Calculate the moles of product in VE1.</t>
  </si>
  <si>
    <t>Calculate the moles of bis-DHAA needed for Oxidation.</t>
  </si>
  <si>
    <t>Calculate the required amount of 25 mM bis-DHAA in DMSO (8011886) to add.</t>
  </si>
  <si>
    <t>NOTE: Section 22 can be performed concurrently with Section 23 through</t>
  </si>
  <si>
    <t>Before proceeding with Oxidation, check the status of the Isolator setup.</t>
  </si>
  <si>
    <t>Connect the Oxidation buffer (PN 8011886: 25 mM bis-DHAA in DMSO) to one of the legs of the Y assembly attached to a non-diptube inlet on the VE 1 Conjugation Vessel.</t>
  </si>
  <si>
    <t>Record the temperature of the VE1 Conjugation Vessel.</t>
  </si>
  <si>
    <t>Prime the tubing/hosing leading to the Conjugation Vessel with buffer below following SOP-0080839.</t>
  </si>
  <si>
    <t>Notes for addition of Oxidation buffer PN 8011886: 25 mM bis-DHAA in DMSO:</t>
  </si>
  <si>
    <t>Transfer by weight PN 8011886: 25 mM bis-DHAA in DMSO into the mixing vessel while agitating until the target net weight from Step 21.4  is reached.</t>
  </si>
  <si>
    <t>Clamp all inlets of the Conjugation Vessel.</t>
  </si>
  <si>
    <t>Record the temperature of the solution at the beginning of Oxidation incubation.</t>
  </si>
  <si>
    <t>Calculate the maximum, minimum, and target time to complete the drug linker in DMSO solution addition.</t>
  </si>
  <si>
    <t>Oxidized Product Sampling (8011882-80)</t>
  </si>
  <si>
    <t>Remove the sample volume for 8011882-80 per Attachment 1: Sampling Record and SOP-0107097.</t>
  </si>
  <si>
    <t>Aliquot the sample (8011882-80) per Attachment 1: Sampling Record.</t>
  </si>
  <si>
    <t>Record the net weight of Oxidized mAb in the Conjugation Vessel.</t>
  </si>
  <si>
    <t>Calculate the Volume of Oxidized mAb.</t>
  </si>
  <si>
    <t>Calculate the Volume of Oxidized mAb after -80 sampling.</t>
  </si>
  <si>
    <t>Calculate the weight of Oxidized mAb after -80 sampling.</t>
  </si>
  <si>
    <t>NOTE: Section 23 through Section 24 can be performed concurrently with Section 22.</t>
  </si>
  <si>
    <t>Calculate the expected net weight of Oxidized mAb in the Conjugation Vessel.</t>
  </si>
  <si>
    <t>Calculate the expected volume of Oxidized mAb.</t>
  </si>
  <si>
    <t>Calculate the expected volume of Oxidized mAb after -80 sampling.</t>
  </si>
  <si>
    <t>Calculate the expected weight of Oxidized mAb after -80 sampling.</t>
  </si>
  <si>
    <t>Calculate the target volume of 25 mM bis-DHAA in DMSO to add.</t>
  </si>
  <si>
    <t>Calculate the expected ratio of DMSO to Oxidized mAb.</t>
  </si>
  <si>
    <t>Calculate the expected volume of DMSO in VE 1 after -80 sampling.</t>
  </si>
  <si>
    <t>Notes for Section 23:</t>
  </si>
  <si>
    <t>Calculate Variable A.</t>
  </si>
  <si>
    <t>Calculate Variable B.</t>
  </si>
  <si>
    <t>Calculate the weight of DMSO needed to make 25 mM Drug linker in DMSO solution.</t>
  </si>
  <si>
    <t>Calculate expected total weight of 25mM Drug linker Solution.</t>
  </si>
  <si>
    <t>Calculate expected total volume of 25mM Drug linker Solution.</t>
  </si>
  <si>
    <t>Calculate Variable C.</t>
  </si>
  <si>
    <t>Calculate Total DMSO Chase Volume for 10% DMSO</t>
  </si>
  <si>
    <t>Calculate Total DMSO Chase Weight for 10% DMSO.</t>
  </si>
  <si>
    <t>DMSO Chase Volume for 10% DMSO</t>
  </si>
  <si>
    <t>Calculate the weight of DMSO needed to achieve 10% concentration with line chase.</t>
  </si>
  <si>
    <t>DMSO Chase Weight for 10% DMSO</t>
  </si>
  <si>
    <t>Calculate the Total weight of DMSO needed for Drug linker Solution and 10% DMSO for the conjugated pool.</t>
  </si>
  <si>
    <t>Calculate the number of chase flasks needed to achieve 10% DMSO solution concentration with Chase.</t>
  </si>
  <si>
    <t>Calculate the Target weight of DMSO needed per Chase Flask.</t>
  </si>
  <si>
    <t>Calculate the number of 25 mM Drug linker in DMSO solution flasks required.</t>
  </si>
  <si>
    <t>Calculate the total number of DMSO flasks needed.</t>
  </si>
  <si>
    <t>Obtain the total number of 2L non-Baffled PETG Flasks (PN: 6004712) needed per Step 23.23.</t>
  </si>
  <si>
    <t>Prepare for the addition of DMSO to the flasks obtained in Step 23.24.</t>
  </si>
  <si>
    <t>Record the Scale/Balance ID and Scale/Balance Calibration Due Date below.</t>
  </si>
  <si>
    <t>Obtain the Dimethyl Sulfoxide, DMSO (PN: 10004, PN: 4102623, PN: 6000316, 6004684, or PN: 6001867) and prepare for weigh out.</t>
  </si>
  <si>
    <t>Record the PN, Batch, and amount of DMSO used.</t>
  </si>
  <si>
    <t>NOTE: Section 23 through Section 24 can be performed concurrently with</t>
  </si>
  <si>
    <t>Document the freezer ID that the drug linker is being stored in.</t>
  </si>
  <si>
    <t>Before proceeding with drug linker weigh out:</t>
  </si>
  <si>
    <t>Once all materials are placed in the isolator zipper close the bag, turn on, and allow the bag to equilibrate per SOP-0080310.</t>
  </si>
  <si>
    <t>Ensure the pressure test of the Isolator has been completed before proceeding.</t>
  </si>
  <si>
    <t>In the Isolator, tare the scale</t>
  </si>
  <si>
    <t>Using a sterile spoon, weigh out as much of “Batch 1” drug linker as possible from the amount thawed.</t>
  </si>
  <si>
    <t>Calculate the Net weight of the “Batch 1” added to the flask.</t>
  </si>
  <si>
    <t>Calculate the Purity adjusted net weight of “Batch 1” drug linker.</t>
  </si>
  <si>
    <t>Using a sterile spoon, weigh out as much of “Batch 2” drug linker as possible from the amount thawed.</t>
  </si>
  <si>
    <t>Calculate the Net weight of “Batch 2” added to the flask.</t>
  </si>
  <si>
    <t>Calculate the Purity adjusted net weight of “Batch 2”.</t>
  </si>
  <si>
    <t>Using a sterile spoon, weigh out as much of “Batch 3” drug linker as possible from the amount thawed. Reference Step 11.4.</t>
  </si>
  <si>
    <t>Calculate the Net weight of “Batch 3” drug linker added to the flask.</t>
  </si>
  <si>
    <t>Calculate the Purity adjusted net weight of “Batch 3” drug linker.</t>
  </si>
  <si>
    <t>Calculate the total purity adjusted net weight of the drug linker in the flask.</t>
  </si>
  <si>
    <t>Calculate the total net weight of the drug linker in the flask.</t>
  </si>
  <si>
    <t>Calculate the moles of pure Drug linker to add in the 25 mM Drug linker in DMSO solution.</t>
  </si>
  <si>
    <t>Calculate the moles of mAb intermediate needed to align with the moles of pure Drug linker in the 25 mM DMSO solution.</t>
  </si>
  <si>
    <t>Confirm the Moles of mAb in VE1(Step 21.2) is within the required range moles of mAb intermediate in (Step 24.21)</t>
  </si>
  <si>
    <t>Calculate the moles of NAC needed.</t>
  </si>
  <si>
    <t>Calculate the required amount of 100 mM NAC (PN: 8009047) to add.</t>
  </si>
  <si>
    <t>Transfer all the contents in the flask labeled “DMSO for 25 mM Drug linker in DMSO” into the flask with the drug linker.</t>
  </si>
  <si>
    <t>Place flask on to the stir plate.</t>
  </si>
  <si>
    <t>Perform a visual inspection of the solution to ensure all Drug linker has dissolved.</t>
  </si>
  <si>
    <t>mAb Conjugation</t>
  </si>
  <si>
    <t>Verify that the minimum Oxidation incubation time in Step 22.10 is met.</t>
  </si>
  <si>
    <t>Ensure the agitation is on and record the agitation setting below.</t>
  </si>
  <si>
    <t>Calculate the duration of mixing for the 25 mm drug linker in DMSO Solution.</t>
  </si>
  <si>
    <t>Obtain and record the temperature of the VE1 Conjugation Vessel.</t>
  </si>
  <si>
    <t>When ready to proceed with Conjugation:</t>
  </si>
  <si>
    <t>25mM Drug Linker in DMSO Solution Transfer</t>
  </si>
  <si>
    <t>Temperature control during 25 mm Drug Linker in DMSO solution transfer</t>
  </si>
  <si>
    <t>After 25 mm Drug Linker in DMSO solution transfer, perform a visual inspection of the Conjugation Vessel in VE 1 to verify there are no clumps of the drug linker.</t>
  </si>
  <si>
    <t>DMSO Chase</t>
  </si>
  <si>
    <t>Temperature control during chase</t>
  </si>
  <si>
    <t>Record the end time of DMSO Solution Transfer.</t>
  </si>
  <si>
    <t>Calculate the maximum, minimum, and target time to begin transfer of the Quench Solution.</t>
  </si>
  <si>
    <t>Record the temperature of the solution at the beginning of Conjugation incubation.</t>
  </si>
  <si>
    <t>Overnight storage instructions of Conjugated mAb</t>
  </si>
  <si>
    <t>Calculate the weight of DMSO added to VE1</t>
  </si>
  <si>
    <t>Calculate the weight of DMSO added to VE1 in kg</t>
  </si>
  <si>
    <t>Weight of DMSO added to VE1</t>
  </si>
  <si>
    <t>Calculate the weight of DMSO and drug linker added to VE1 in kg</t>
  </si>
  <si>
    <t>Calculate the net weight of conjugated pool.</t>
  </si>
  <si>
    <t>Weight of Oxidized mAb after -80 sampling</t>
  </si>
  <si>
    <t>Calculate Volume of VE1 Vessel after Conjugation</t>
  </si>
  <si>
    <t>Calculate Volume of DMSO added in VE1.</t>
  </si>
  <si>
    <t>Weight of DMSO added to VE1 in kg</t>
  </si>
  <si>
    <t>Calculate the Ratio of Volume of DMSO added in VE1 to Volume of VE1 Vessel after Conjugation. Ensure Ratio is within the NOR range 0.09 – 0.11.</t>
  </si>
  <si>
    <t>mAb Quench</t>
  </si>
  <si>
    <t>After the NOR minimum Conjugation incubation time of 930 min in Step 25.12:</t>
  </si>
  <si>
    <t>Record the temperature of the solution before the start of Quench.</t>
  </si>
  <si>
    <t>Weld or attach the Quench Buffer (PN: 8009047, 100 mM NAC) to an unused leg of the Y connection attached to a non-diptube inlet of the Conjugation Vessel in VE1.</t>
  </si>
  <si>
    <t>Place the 100 mM NAC solution on an Analytical scale.</t>
  </si>
  <si>
    <t>Transfer by weight PN: 8009047, 100 mM NAC into the Conjugation Vessel while agitating until the target net weight from Step 24.24 is reached.</t>
  </si>
  <si>
    <t>Calculate the net weight of the Crude conjugated product in VE1.</t>
  </si>
  <si>
    <t>Quench incubation end time is CEX Load end time.</t>
  </si>
  <si>
    <t>Record the temperature of the Quenched Conjugate at the start of quench incubation.</t>
  </si>
  <si>
    <t>Quenched Crude Conjugate Sampling (8011882-90)</t>
  </si>
  <si>
    <t>Remove the sample volume for 8011882-90 per Attachment 1: Sampling Record and SOP-0107097.</t>
  </si>
  <si>
    <t>Calculate the total weight removed for crude conjugate sampling.</t>
  </si>
  <si>
    <t>Calculate the net weight of quenched crude conjugate after non-routine sampling.</t>
  </si>
  <si>
    <t>Overnight storage instructions</t>
  </si>
  <si>
    <t>Once CEX Load is complete, transcribe the following from MABR-0027774: PN 8012601 – AZD9448 Cation Exchange Chromatography (Poros HS50, HCS, Process 1) :</t>
  </si>
  <si>
    <t>Ensure any additional supporting documentation are listed and attached.</t>
  </si>
  <si>
    <t>Verify that the product net weight (Step 26.7) is correctly inputted into SAP.</t>
  </si>
  <si>
    <t>Review the Batch Production Record for completeness and submit for review.</t>
  </si>
  <si>
    <t>Multi-page sampling record with DLIMS submission, intermediate storage temps, SOLO_A280 testing, GREENFORM templates</t>
  </si>
  <si>
    <t>ATT-1B</t>
  </si>
  <si>
    <t>Attachment 1: Sampling Record (continued)</t>
  </si>
  <si>
    <t>Continued sampling record covering samples 8011882-60 through -90</t>
  </si>
  <si>
    <t>Memo-requested non-routine samples with DLIMS logging</t>
  </si>
  <si>
    <t>Attachment 3: Transfer Tubing/Hosing Information</t>
  </si>
  <si>
    <t>Tubing tracking: Part No., Batch No., Exp. Date, Connection From/To, Welder ID, Sealer ID</t>
  </si>
  <si>
    <t>ATT-3B</t>
  </si>
  <si>
    <t>Attachment 3: Transfer Tubing/Hosing (continued)</t>
  </si>
  <si>
    <t>Continued tubing/hosing information tracking</t>
  </si>
  <si>
    <t>Attachment 5: Hold Times - pH-Adjusted Diluted mAb</t>
  </si>
  <si>
    <t>Hold time tracking for pH-Adjusted Diluted mAb at R.T. and 2-8°C</t>
  </si>
  <si>
    <t>Attachment 6: Hold Times - Intermediate UFDF Product</t>
  </si>
  <si>
    <t>Hold time tracking for Intermediate UFDF Product at R.T. and 2-8°C</t>
  </si>
  <si>
    <t>Attachment 7: Hold Times - Oxidized mAb Product</t>
  </si>
  <si>
    <t>Hold time tracking for Oxidized mAb Product at R.T. and 2-8°C</t>
  </si>
  <si>
    <t>Attachment 8: Comment Section</t>
  </si>
  <si>
    <t>Free-text form for deviations, supervisor decisions, OOS events, process notes</t>
  </si>
  <si>
    <t>Conjugation 2 Batch Record Analysis</t>
  </si>
  <si>
    <t>Batch ID: PN - 8012101</t>
  </si>
  <si>
    <t>Verify Isolator Glove Bag Setup</t>
  </si>
  <si>
    <t>Verify that the Glove Bag for the Isolator has been set up per SOP-0080310 before any drug-linker operations.</t>
  </si>
  <si>
    <t>Transcribe Intermediate UFDF Product Values from MPR 8012100</t>
  </si>
  <si>
    <t>Transcribe Filtered Intermediate UFDF Product Volume (Step 14.10), Net Weight (Step 14.9), and concentration (Step 12.10) from MPR MABR-0027672 / PN: 8012100.</t>
  </si>
  <si>
    <t>Obtain and Load 2L Flask into Isolator</t>
  </si>
  <si>
    <t>Obtain one (1) 2L Flask with attached C-Flex and Acro-50 (PN: 4101926) and place inside the Isolator. Record Part No., Batch No., and Exp. Date.</t>
  </si>
  <si>
    <t>Confirm Drug-linker Thaw Amount and Record Batch/Purity Details</t>
  </si>
  <si>
    <t>Confirm with supervisor the amount of Samrotecan Drug-linker (PN: 8010019) to thaw. Record Net Weight and Drug-linker Purity (%) for up to 3 batches. Obtain supervisor signature.</t>
  </si>
  <si>
    <t>Obtain and Load 500g VWR-500P Scale into Isolator</t>
  </si>
  <si>
    <t>Obtain the 500g VWR-500P model single-use scale along with all required materials and place into the Isolator. Record the Work Order Number, Part Number, and Serial Number of the scale.</t>
  </si>
  <si>
    <t>Obtain Tare Weights and Weigh DMSO into Flasks</t>
  </si>
  <si>
    <t>Obtain and record tare weight of each 2L flask (DMSO for 25mM Drug-linker, Line Priming, Chase Flasks). Weigh out DMSO (various PNs) into each flask and record net weight and weigh-out date/time. Record expiration date (1 day post-weigh-out).</t>
  </si>
  <si>
    <t>Create Visual Guide for Scale in Isolator</t>
  </si>
  <si>
    <t>Once all materials are placed in the Isolator, use a marker to create a visual guide indicating where the scale should remain during processing to prevent movement.</t>
  </si>
  <si>
    <t>Identify and Record AZD1221 Mobius Mixer (VE1)</t>
  </si>
  <si>
    <t>Identify the Mobius Mixer labeled 'AZD1221', 'Intermediate UFDF Storage Vessel', and PN 8012100. Record the Mixer ID for the DAR(2+8) Conjugation Vessel in VE1.</t>
  </si>
  <si>
    <t>Record Processing Room and Set Temperature on Conjugation Vessel</t>
  </si>
  <si>
    <t>Record the room number(s) where processing will occur. Set the temperature set point and temperature alarm set points of the DAR(2+8) Conjugation Vessel in VE1 per process requirements.</t>
  </si>
  <si>
    <t>Obtain and Record Connection Materials for VE1</t>
  </si>
  <si>
    <t>Obtain all materials required to connect the 2L flasks to the inlet of the DAR(2+8) Conjugation Vessel. Record Part No./Assembly ID, Batch No./Autoclave Cycle No., and Exp./Autoclave Exp. Date.</t>
  </si>
  <si>
    <t>Weld/Attach Tubing and Record Welder ID (VE1 Setup)</t>
  </si>
  <si>
    <t>Weld or attach tubing assemblies connecting the 2L flasks to the DAR(2+8) Conjugation Vessel inlet. Record the Sartorius Biowelder ID. Perform SAP consumption for all materials used.</t>
  </si>
  <si>
    <t>Attachment 1: PN 8012101 DAR(2+8) Crude Conjugate Information</t>
  </si>
  <si>
    <t>Transcription form to carry forward key values (net weights, volumes, concentrations, sample results) from PN 8012101 to the next unit operation (PN 8012112 Concentration and Diafiltration). Operator must transcribe values from indicated steps.</t>
  </si>
  <si>
    <t>Calculate UFDF Product Volume After 8012101-10 Sampling</t>
  </si>
  <si>
    <t>Calculate the volume of Filtered Intermediate UFDF Product remaining in the DAR(2+8) Conjugation Vessel after 8012101-10 sample removal (0.035 L sample volume deducted).</t>
  </si>
  <si>
    <t>Calculate Mass of Protein in DAR(2+8) Conjugation Vessel</t>
  </si>
  <si>
    <t>Calculate total grams of protein by multiplying the post-sampling volume (Step 9.2) by the concentration (Step 9.1). Units: L × g/L = g.</t>
  </si>
  <si>
    <t>Calculate Moles of Protein in DAR(2+8) Conjugation Vessel</t>
  </si>
  <si>
    <t>Divide total grams of protein (Step 9.3) by the molecular weight (145,481.16 g/mol, assumed same as DAR2 Conjugated Intermediate). Record to 5 significant figures.</t>
  </si>
  <si>
    <t>Calculate Moles of 50 mM Neutralized TCEP Required</t>
  </si>
  <si>
    <t>Calculate moles of TCEP buffer needed using TCEP:mAb mole ratios of 5.5 (Min), 6.0 (Target), and 6.5 (Max) multiplied by moles of protein (Step 9.4).</t>
  </si>
  <si>
    <t>Calculate Required Weight of 50 mM Neutralized TCEP</t>
  </si>
  <si>
    <t>Calculate the target weight of 50 mM Neutralized TCEP solution (PN: 8009045) using moles of TCEP (Step 9.5) × 20.2 kg/mol TCEP conversion factor for Min, Target, and Max.</t>
  </si>
  <si>
    <t>Calculate Required Moles of Samrotecan Drug-linker</t>
  </si>
  <si>
    <t>Calculate moles of drug-linker needed based on moles of protein (Step 9.4) × conjugation ratios of 11.5 (NOR Min), 12.0 (Target), and 14.5 (NOR Max) mol drug-linker/mol mAb.</t>
  </si>
  <si>
    <t>Convert Drug-linker Purity % to Decimal (Per Batch)</t>
  </si>
  <si>
    <t>Convert purity percentage to decimal for each batch of Samrotecan Drug-linker by dividing by 100. N/A any batch numbers not used.</t>
  </si>
  <si>
    <t>Calculate Target Net Weight of Pure Drug-linker (Per Batch)</t>
  </si>
  <si>
    <t>For each batch: multiply net weight thawed × purity decimal × factor to get purity-adjusted net weight. Sum all batches to get Total Expected net weight of pure drug-linker after weigh-out.</t>
  </si>
  <si>
    <t>Calculate and Confirm Total Moles of Expected Drug-linker</t>
  </si>
  <si>
    <t>Divide Total Expected Net Weight of pure drug-linker (Step 10.4) by molecular weight (1,148.3 g/mol) to get total moles. Confirm moles are within NOR (11.5–14.5 × moles protein).</t>
  </si>
  <si>
    <t>Calculate Weight of DMSO Needed for 25 mM Drug-linker Solution</t>
  </si>
  <si>
    <t>Calculate target weight of DMSO using: Total Expected Net Weight of pure drug-linker (Step 10.4) × 38.32 g DMSO/g drug-linker. (Derived from density 974.57 g/L and 25 mM concentration).</t>
  </si>
  <si>
    <t>Calculate Adjusted Weight of DMSO (Deduct Line Priming Volume)</t>
  </si>
  <si>
    <t>Subtract 50 g DMSO introduced during line priming from the target DMSO weight (Step 11.1) to get Adjusted Weight of DMSO for 25 mM Drug-linker Solution.</t>
  </si>
  <si>
    <t>Calculate Target Volume of DMSO for 25 mM Drug-linker Solution</t>
  </si>
  <si>
    <t>Divide Adjusted Weight of DMSO (Step 11.2) by density of DMSO (1.100 g/mL) to obtain Target Volume of DMSO in mL.</t>
  </si>
  <si>
    <t>Calculate Minimum Number of 2L PETG Flasks for DMSO</t>
  </si>
  <si>
    <t>Divide Target Volume of DMSO (Step 11.3) by maximum fill volume per vessel (2,000 mL) to determine minimum number of 2L non-Baffled PETG Flasks required.</t>
  </si>
  <si>
    <t>Round Flask Count and Obtain Supervisor Confirmation</t>
  </si>
  <si>
    <t>Round minimum number of DMSO flasks up to nearest whole number. Confirm rounded count with supervisor and record supervisor contact.</t>
  </si>
  <si>
    <t>Calculate Total Number of Flasks Required (Including Chase)</t>
  </si>
  <si>
    <t>Calculate total flasks: (Target No. flasks for DMSO × 2 for drug-linker/weigh-out) + 2 chase flasks (1 for DMSO Chase, 1 for line priming).</t>
  </si>
  <si>
    <t>Calculate Target Volume and Weight of DMSO per Flask</t>
  </si>
  <si>
    <t>Divide target DMSO volume (Step 11.3) by number of DMSO flasks (Step 11.5) to get volume per flask. Multiply by density (1.100 g/mL) to get weight per flask.</t>
  </si>
  <si>
    <t>Obtain and Label 2L PETG Flasks (SAP Consumption)</t>
  </si>
  <si>
    <t>Obtain total number of 2L non-Baffled PETG Flasks (PN: 6004712) per Step 11.6. Label each flask appropriately. Record Part Number, Batch Number, Expiration Date, and Qty Used. Perform SAP Consumption.</t>
  </si>
  <si>
    <t>Set Up Scale for DMSO Weigh-Out (Room, Scale ID, Calibration)</t>
  </si>
  <si>
    <t>Record the room number where DMSO weigh-out will occur. Record Scale/Balance ID and Calibration Due Date. Confirm that a weight check has been performed.</t>
  </si>
  <si>
    <t>Record DMSO PN, Batch, Amount Used (SAP Consumption)</t>
  </si>
  <si>
    <t>Record Part No., Description, Batch No., Exp. Date, and Amount (g) for each DMSO source used (PNs: 10004, 4102623, 6000316, 6001867, 6004684). N/A unused PNs. Perform SAP Consumption.</t>
  </si>
  <si>
    <t>Mix UFDF Product, Take 8012101-10 Sample, Record Net Weight</t>
  </si>
  <si>
    <t>Mix Intermediate UFDF product in DAR(2+8) Conjugation Vessel in VE1 for at least 15 minutes per SOP-0080504. Remove sample for 8012101-10 per Attachment 2. Record sampling date/time, mixing duration, aliquot sample, submit to DLIMS. Record net weight post-sampling with Scale ID and Calibration Due Date.</t>
  </si>
  <si>
    <t>Set Up Drug-linker Weigh-Out Scale in Isolator</t>
  </si>
  <si>
    <t>Set up the 500g VWR-500P scale in the Isolator prior to removing Samrotecan drug-linker from freezer. Record Model Number, confirm calibration completion, and record Weight Check ID.</t>
  </si>
  <si>
    <t>Obtain Samrotecan Drug-linker and Record Net Weights from Labels</t>
  </si>
  <si>
    <t>Obtain drug-linker (PN: 8010019 Samrotecan AZ14170133) per thaw amount from Step 10.2. Record Batch No., Vessel No., and Net Weight from the Drug-linker label for each vessel (up to 12 vessels). Record Freezer ID and Drug-linker Storage Start Date/Time.</t>
  </si>
  <si>
    <t>Load Materials into Isolator, Pressure Test</t>
  </si>
  <si>
    <t>Ensure all required materials are placed in the Isolator. Close Isolator zipper, turn on Isolator, and allow it to equilibrate. Confirm that the Isolator pressure test has been completed before proceeding.</t>
  </si>
  <si>
    <t>Tare Scale and Weigh Out Batch 1 Drug-linker in Isolator</t>
  </si>
  <si>
    <t>Tare the Isolator scale. Record the tare weight of empty drug-linker flask. Using a sterile spoon, weigh out Batch 1 Samrotecan Drug-linker into the flask. Record gross weight with Batch 1.</t>
  </si>
  <si>
    <t>Calculate Net and Purity-Adjusted Weight of Batch 1 Drug-linker</t>
  </si>
  <si>
    <t>Calculate Net Weight of Batch 1: Gross weight (Step 13.4) − Tare weight. Calculate Purity-adjusted Net Weight: Net weight × Batch 1 purity (Step 10.3). Weight must reflect calculated target net weight ± tolerance.</t>
  </si>
  <si>
    <t>Weigh Out Batch 2 Drug-linker; Calculate Net and Purity-Adjusted Weight</t>
  </si>
  <si>
    <t>Weigh out Batch 2 Samrotecan Drug-linker. Record gross weight with Batch 1+2. Calculate Net Weight of Batch 2 (gross 1+2 − gross 1) and Purity-adjusted Net Weight (net weight × Batch 2 purity). N/A if second batch not required.</t>
  </si>
  <si>
    <t>Weigh Out Batch 3 Drug-linker; Calculate Net and Purity-Adjusted Weight</t>
  </si>
  <si>
    <t>Weigh out Batch 3 Samrotecan Drug-linker. Record gross weight with Batch 1+2+3. Calculate Net Weight of Batch 3 (gross 1+2+3 − gross 1+2) and Purity-adjusted Net Weight. N/A if third batch not required.</t>
  </si>
  <si>
    <t>Calculate Total Purity-Adjusted and Total Net Weight of Drug-linker</t>
  </si>
  <si>
    <t>Sum purity-adjusted net weights from Batches 1, 2, and 3 to get Total Purity-adjusted Net Weight. Sum net weights from Batches 1, 2, and 3 to get Total Net Weight. Record a '0' for unused batches.</t>
  </si>
  <si>
    <t>Calculate Moles of Pure Drug-linker for 25 mM Solution</t>
  </si>
  <si>
    <t>Divide Total Purity-adjusted Net Weight (Step 13.8) by molecular weight of drug-linker (1,148.3 g/mol) to get moles of pure drug-linker for the 25 mM Samrotecan Drug-linker in DMSO solution.</t>
  </si>
  <si>
    <t>Calculate Required Moles of Protein to Align with Drug-linker Moles</t>
  </si>
  <si>
    <t>Divide moles of pure drug-linker (Step 13.9) by conjugation ratios (11.5 min / 12.0 target / 14.5 max) to get required moles of protein. Confirm moles of protein in vessel (Step 9.4) are within range.</t>
  </si>
  <si>
    <t>Calculate Moles of NAC (Quench Buffer) Required</t>
  </si>
  <si>
    <t>Calculate Target Moles of NAC using moles of drug-linker (Step 13.9) × NAC:drug-linker mole ratios of 3.5 (NOR Min), 4.0 (Target), and 4.5 (NOR Max).</t>
  </si>
  <si>
    <t>Calculate Required Weight of 100 mM NAC (PN: 8009047)</t>
  </si>
  <si>
    <t>Calculate Target Weight of 100 mM NAC: Target Moles of NAC (Step 13.11) × 10 kg/mol NAC conversion factor for NOR Min, Target, and NOR Max.</t>
  </si>
  <si>
    <t>Transfer DMSO into Drug-linker Flask and Mix on Stir Plate</t>
  </si>
  <si>
    <t>Transfer all contents of flask labeled 'DMSO for 25 mM Samrotecan Drug-linker in DMSO' into the drug-linker flask. Place on stir plate. Record Stir Plate ID, agitation setting (RPM), and mixing start time. Perform visual inspection to confirm complete dissolution. Continue mixing as needed.</t>
  </si>
  <si>
    <t>Check SUTFF Setup in VE3 and Weld TCEP Buffer to Inlet</t>
  </si>
  <si>
    <t>Before proceeding with Reduction, verify that the SUTFF setup in VE3 is complete. Weld or attach the TCEP Buffer (PN: 8009045, 50 mM Neutralized TCEP) to the inlet labeled 'Reduction Buffer' on the DAR(2+8) Conjugation Vessel. Record Welder ID if applicable.</t>
  </si>
  <si>
    <t>Prime Transfer Tubing with TCEP Buffer; Record Scale ID and Calibration</t>
  </si>
  <si>
    <t>Prime the tubing/hosing leading to the DAR(2+8) Conjugation Vessel with 50 mM Neutralized TCEP Buffer per SOP-0080839. Record Scale ID and Calibration Date used for TCEP transfer weighing.</t>
  </si>
  <si>
    <t>Record Agitation Setting and Temperature of Conjugation Vessel Pre-Reduction</t>
  </si>
  <si>
    <t>Record the agitation setting (RPM) of the DAR(2+8) Conjugation Vessel. Perform visual inspection to confirm good mixing with minimal foam. Record the current temperature of the DAR(2+8) Conjugation Vessel and confirm it is within the Reduction NOR.</t>
  </si>
  <si>
    <t>Transfer 50 mM Neutralized TCEP into Conjugation Vessel (SAP Consumption)</t>
  </si>
  <si>
    <t>Transfer by weight PN: 8009045, 50 mM Neutralized TCEP into the mixing vessel while agitating until the target weight is reached. Record Amount of TCEP added (kg), Reduction Buffer Transfer End Time, and perform SAP Consumption.</t>
  </si>
  <si>
    <t>Record Net Weight of Reduced Product</t>
  </si>
  <si>
    <t>Calculate Net Weight of Reduced Product: Net weight of UFDF Product after 8012101-10 sampling (Step 12.7) + Amount of 50 mM Neutralized TCEP added (Step 14.4). Record result in kg.</t>
  </si>
  <si>
    <t>Calculate and Monitor Reduction Incubation Time and Temperature</t>
  </si>
  <si>
    <t>Reduction incubation start time is the TCEP transfer end time (Step 14.4). Calculate NOR Min (210 min), Target (240 min), and NOR Max (270 min) end times. Record temperature during mixing and confirm within NOR. Once minimum hold met, prime line from Isolator for drug-linker transfer.</t>
  </si>
  <si>
    <t>Calculate Drug-linker Mixing Duration and Confirm Reduction Hold Met</t>
  </si>
  <si>
    <t>Calculate duration of mixing for 25 mM Drug-linker in DMSO Solution (must be &gt; 10 minutes). Record mixing start and end times. Obtain temperature of DAR(2+8) Conjugation Vessel (Conjugation NOR: 18–25°C). Confirm Reduction incubation time &gt; 210 minutes before proceeding.</t>
  </si>
  <si>
    <t>Confirm Agitation of Conjugation Vessel and Drug-linker Transfer Timing</t>
  </si>
  <si>
    <t>Record agitation setting (RPM) of DAR(2+8) Conjugation Vessel. Perform visual inspection to confirm good mixing. Confirm drug-linker transfer start time falls within the Reduction incubation window calculated in Step 14.6.</t>
  </si>
  <si>
    <t>Transfer 25 mM Drug-linker in DMSO into Conjugation Vessel (Exothermic)</t>
  </si>
  <si>
    <t>Begin transferring 25 mM Samrotecan Drug-linker in DMSO Solution from 2L flasks into DAR(2+8) Conjugation Vessel. Record start time. Monitor temperature during transfer (exothermic reaction - must stay within NOR). After transfer, perform visual inspection to confirm product appearance. Pour DMSO chase volume and complete remaining DMSO transfer slowly.</t>
  </si>
  <si>
    <t>Record End Time of DMSO Transfer and Verify Reduction Incubation Time</t>
  </si>
  <si>
    <t>Record end time of 25 mM Drug-linker in DMSO Solution transfer. Calculate and verify Reduction Incubation Time (NOR: 210–270 minutes) based on Step 14.4 and Step 15.3 times. Record temperature at start of Conjugation incubation.</t>
  </si>
  <si>
    <t>Calculate Quench Buffer Transfer Time Window (Conjugation Incubation)</t>
  </si>
  <si>
    <t>Calculate minimum, target, and maximum times to begin Quench Buffer transfer based on DMSO transfer end time + Conjugation Incubation Time (Min: 45 min, Target: 60 min, Max: 75 min).</t>
  </si>
  <si>
    <t>Calculate DMSO and Drug-linker Weights Added to VE1</t>
  </si>
  <si>
    <t>Convert total net weight of drug-linker (Step 13.8) from g to kg. Calculate weight of DMSO added to VE1 (Total DMSO − 200g chase holdback). Convert DMSO weight to kg. Sum DMSO + drug-linker weights to get total weight added to VE1 in kg.</t>
  </si>
  <si>
    <t>Calculate Net Weight and Volume of DAR(2+8) Conjugate</t>
  </si>
  <si>
    <t>Calculate net weight of DAR(2+8) Conjugate: Net weight of Reduced Product (Step 14.5) + Weight of DMSO + drug-linker added (Step 15.6). Calculate Volume: Net weight ÷ density of 1.004 kg/L.</t>
  </si>
  <si>
    <t>Check Agitation, Temperature, and Weld NAC Buffer to Inlet (Pre-Quench)</t>
  </si>
  <si>
    <t>Record agitation setting of DAR(2+8) Conjugation Vessel. Perform visual inspection to confirm good mixing. Record temperature before start of Quench and confirm within NOR (18.0–25.0°C). Weld or attach Quench Buffer (PN: 8009047, 100 mM NAC) to inlet labeled 'Quench buffer'. Record Welder ID if applicable.</t>
  </si>
  <si>
    <t>Place 100 mM NAC on Scale and Prime Transfer Line</t>
  </si>
  <si>
    <t>Place the 100 mM NAC solution on an Analytical Scale. Prime the transfer line with PN: 8009047, 100 mM NAC per SOP-0080839. Record Scale ID and Calibration Due Date.</t>
  </si>
  <si>
    <t>Transfer 100 mM NAC into Conjugation Vessel; Record Time and SAP Consumption</t>
  </si>
  <si>
    <t>Transfer by weight PN: 8009047, 100 mM NAC into Conjugation Vessel while agitating until target weight is reached. Record Amount of NAC added (kg), End time of NAC transfer, Total Conjugation Incubation Time (NOR: 45–75 min). Perform SAP Consumption.</t>
  </si>
  <si>
    <t>Calculate Net Weight and Volume of DAR(2+8) Quenched Crude Conjugate</t>
  </si>
  <si>
    <t>Calculate net weight of DAR(2+8) Quenched Crude Conjugate: Net weight of Conjugate (Step 15.7) + Amount of 100 mM NAC added (Step 16.3). Calculate Volume: Net weight ÷ density of DAR(2+8) Crude Conjugate (1.004 kg/L).</t>
  </si>
  <si>
    <t>Calculate UFDF Vessel Fill Time Window for Next Unit Operation (PN: 8012112)</t>
  </si>
  <si>
    <t>Calculate minimum, target, and maximum start/end times for UFDF Vessel Fill in PN 8012112 based on NAC transfer end time + time for transfer (NOR Min: 5 min, Target: 15 min, NOR Max: 1440 min).</t>
  </si>
  <si>
    <t>Record Quench Incubation Temperature and Take 8012101-20 Sample</t>
  </si>
  <si>
    <t>Record temperature of DAR(2+8) Quenched Crude Conjugate at start of Quench incubation (NOR: 18–25°C). After minimum Quench incubation time, prepare for and take 8012101-20 sample from Conjugate Vessel. Record sampling date/time, total volume removed. Aliquot per Attachment 2. Submit to DLIMS per SOP-0080295.</t>
  </si>
  <si>
    <t>Calculate Volume/Weight of Crude Conjugate After Sampling; Overnight Storage</t>
  </si>
  <si>
    <t>Calculate Volume of DAR(2+8) Crude Conjugate after -20 sampling: Volume of Quenched Conjugate (Step 16.4) − Total volume removed for -20 sampling. Calculate Weight: Volume × density (1.004 kg/L). If storing overnight: record Quench storage start time, temperature (NOR: 18–25°C), UFDF Load End Time from MPR PN: 8012100, and Quench Incubation Duration (NOR: 5–1440 minutes).</t>
  </si>
  <si>
    <t>Verify Additional Supporting Documentation is Attached</t>
  </si>
  <si>
    <t>Ensure any additional supporting documentation (e.g., non-routine sampling memos, deviation reports, equipment maintenance records) are listed and attached to the Batch Production Record.</t>
  </si>
  <si>
    <t>Verify Product Net Weight Entered Correctly in SAP</t>
  </si>
  <si>
    <t>Verify that the product net weight from Step 16.15 is correctly entered into SAP. Confirm SAP data entry with Production Initial and Date.</t>
  </si>
  <si>
    <t>Review Batch Production Record for Completeness and Submit</t>
  </si>
  <si>
    <t>Review the complete Batch Production Record for completeness, accuracy, and all required signatures. Submit batch record for Quality Assurance review.</t>
  </si>
  <si>
    <t>Attachment 2: Sampling Record</t>
  </si>
  <si>
    <t>Formal sampling record for all in-process samples (8012101-10 pre-reduction and 8012101-20 post-quench) including DLIMS sample submission data. Operator must record intermediate storage temperature, tube type matching DLIMS, sample purpose (AS Retain or PPS Small Retain), and use GREENFORM template for DLIMS submissions. STAT samples indicated in bold.</t>
  </si>
  <si>
    <t>To be completed only if non-routine samples are requested via memo. Operator must re-adjust product weight for any non-routine samples taken. Log into DLIMS per SOP-0080295 and record DLIMS project number and sample number.</t>
  </si>
  <si>
    <t>Attachment 4: Transfer Tubing/Hosing Information</t>
  </si>
  <si>
    <t>Documentation form capturing all transfer tubing and hosing used during the process (up to 4 hoses/tubings per connection). Must record Part No., Batch No., Exp. Date, Pre-Load Performed By/Date. Continued on next page for additional connections.</t>
  </si>
  <si>
    <t>Attachment 5: Hold Times – Intermediate UFDF Product</t>
  </si>
  <si>
    <t>Hold time tracking form for the mAb Intermediate product at each storage temperature (2–8°C and RT 15–25°C). Operator records storage start time, end time, date, and location. Calculate storage duration for each temperature range and combined duration. Critical for product quality hold time compliance.</t>
  </si>
  <si>
    <t>Attachment 6: Comment Section</t>
  </si>
  <si>
    <t>General comment section for documenting deviations, non-conformances, additional observations, or any actions taken during processing. Multiple pages provided (4 comment tables in document). Each entry must include Step No., comment text, and operator initials/date.</t>
  </si>
  <si>
    <t>Date and Time of Weigh Out</t>
  </si>
  <si>
    <t xml:space="preserve">Obtain materials and prepare for weigh out. </t>
  </si>
  <si>
    <t>Net weight vessels</t>
  </si>
  <si>
    <t>Record the net weight from each vessel of Drug-linkers.</t>
  </si>
  <si>
    <t>Target time</t>
  </si>
  <si>
    <t>Calculate max, min and target time to begin and end UFDF Vessle Fill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</si>
</sst>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1" x14ac:knownFonts="1">
    <font>
      <sz val="10"/>
      <color rgb="FF000000"/>
      <name val="Arial"/>
      <scheme val="minor"/>
    </font>
    <font>
      <sz val="30"/>
      <color rgb="FFFFFFFF"/>
      <name val="Roboto"/>
    </font>
    <font>
      <sz val="20"/>
      <color rgb="FFFFFFFF"/>
      <name val="Roboto"/>
    </font>
    <font>
      <sz val="10"/>
      <color theme="1"/>
      <name val="Roboto"/>
    </font>
    <font>
      <sz val="10"/>
      <color rgb="FF434343"/>
      <name val="Roboto"/>
    </font>
    <font>
      <sz val="10"/>
      <color rgb="FF11734B"/>
      <name val="Roboto"/>
    </font>
    <font>
      <sz val="10"/>
      <color rgb="FF473821"/>
      <name val="Roboto"/>
    </font>
    <font>
      <sz val="10"/>
      <color rgb="FFB10202"/>
      <name val="Roboto"/>
    </font>
    <font>
      <b/>
      <sz val="10"/>
      <color theme="1"/>
      <name val="Roboto"/>
    </font>
    <font>
      <b/>
      <sz val="10"/>
      <color theme="0"/>
      <name val="Roboto"/>
    </font>
    <font>
      <sz val="10"/>
      <color rgb="FF000000"/>
      <name val="Roboto"/>
    </font>
  </fonts>
  <fills count="6">
    <fill>
      <patternFill patternType="none"/>
    </fill>
    <fill>
      <patternFill patternType="gray125"/>
    </fill>
    <fill>
      <patternFill patternType="solid">
        <fgColor rgb="FFEFEFEF"/>
        <bgColor rgb="FFEFEFEF"/>
      </patternFill>
    </fill>
    <fill>
      <patternFill patternType="solid">
        <fgColor rgb="FF535FC1"/>
        <bgColor rgb="FF535FC1"/>
      </patternFill>
    </fill>
    <fill>
      <patternFill patternType="solid">
        <fgColor rgb="FF3E4791"/>
        <bgColor rgb="FF3E4791"/>
      </patternFill>
    </fill>
    <fill>
      <patternFill patternType="solid">
        <fgColor rgb="FFFFFFFF"/>
        <bgColor rgb="FFFFFFFF"/>
      </patternFill>
    </fill>
  </fills>
  <borders count="3">
    <border>
      <left/>
      <right/>
      <top/>
      <bottom/>
      <diagonal/>
    </border>
    <border>
      <left style="thin">
        <color rgb="FF535FC1"/>
      </left>
      <right/>
      <top/>
      <bottom/>
      <diagonal/>
    </border>
    <border>
      <left/>
      <right style="thin">
        <color rgb="FF535FC1"/>
      </right>
      <top/>
      <bottom/>
      <diagonal/>
    </border>
  </borders>
  <cellStyleXfs count="1">
    <xf numFmtId="0" fontId="0" fillId="0" borderId="0"/>
  </cellStyleXfs>
  <cellXfs count="28">
    <xf numFmtId="0" fontId="0" fillId="0" borderId="0" xfId="0"/>
    <xf numFmtId="0" fontId="3" fillId="0" borderId="0" xfId="0" applyFont="1"/>
    <xf numFmtId="0" fontId="3" fillId="0" borderId="0" xfId="0" applyFont="1" applyAlignment="1">
      <alignment wrapText="1"/>
    </xf>
    <xf numFmtId="0" fontId="3" fillId="0" borderId="0" xfId="0" applyFont="1" applyAlignment="1">
      <alignment horizontal="left" vertical="center"/>
    </xf>
    <xf numFmtId="0" fontId="4" fillId="0" borderId="0" xfId="0" applyFont="1" applyAlignment="1">
      <alignment horizontal="right" vertical="center"/>
    </xf>
    <xf numFmtId="0" fontId="4" fillId="0" borderId="0" xfId="0" applyFont="1" applyAlignment="1">
      <alignment vertical="center" wrapText="1"/>
    </xf>
    <xf numFmtId="0" fontId="4" fillId="0" borderId="0" xfId="0" applyFont="1" applyAlignment="1">
      <alignment horizontal="right" vertical="center" wrapText="1"/>
    </xf>
    <xf numFmtId="0" fontId="6" fillId="0" borderId="0" xfId="0" applyFont="1" applyAlignment="1">
      <alignment vertical="center"/>
    </xf>
    <xf numFmtId="0" fontId="4" fillId="0" borderId="0" xfId="0" applyFont="1" applyAlignment="1">
      <alignment vertical="center"/>
    </xf>
    <xf numFmtId="0" fontId="7" fillId="0" borderId="0" xfId="0" applyFont="1" applyAlignment="1">
      <alignment vertical="center"/>
    </xf>
    <xf numFmtId="0" fontId="4" fillId="0" borderId="0" xfId="0" applyFont="1"/>
    <xf numFmtId="0" fontId="4" fillId="0" borderId="0" xfId="0" applyFont="1" applyAlignment="1">
      <alignment wrapText="1"/>
    </xf>
    <xf numFmtId="0" fontId="7" fillId="0" borderId="0" xfId="0" applyFont="1"/>
    <xf numFmtId="0" fontId="4" fillId="0" borderId="0" xfId="0" applyFont="1" applyAlignment="1">
      <alignment horizontal="right" wrapText="1"/>
    </xf>
    <xf numFmtId="0" fontId="5" fillId="0" borderId="0" xfId="0" applyFont="1"/>
    <xf numFmtId="0" fontId="9" fillId="0" borderId="0" xfId="0" applyFont="1" applyAlignment="1">
      <alignment horizontal="left" vertical="center"/>
    </xf>
    <xf numFmtId="0" fontId="9" fillId="0" borderId="0" xfId="0" applyFont="1" applyAlignment="1">
      <alignment horizontal="left" vertical="center" wrapText="1"/>
    </xf>
    <xf numFmtId="0" fontId="4" fillId="0" borderId="0" xfId="0" quotePrefix="1" applyFont="1" applyAlignment="1">
      <alignment horizontal="right" vertical="center"/>
    </xf>
    <xf numFmtId="0" fontId="3" fillId="0" borderId="0" xfId="0" applyFont="1" applyAlignment="1">
      <alignment vertical="center"/>
    </xf>
    <xf numFmtId="0" fontId="8" fillId="0" borderId="0" xfId="0" applyFont="1" applyAlignment="1">
      <alignment vertical="center"/>
    </xf>
    <xf numFmtId="0" fontId="3" fillId="2" borderId="0" xfId="0" applyFont="1" applyFill="1"/>
    <xf numFmtId="0" fontId="10" fillId="0" borderId="0" xfId="0" applyFont="1"/>
    <xf numFmtId="0" fontId="10" fillId="5" borderId="1" xfId="0" applyFont="1" applyFill="1" applyBorder="1" applyAlignment="1">
      <alignment vertical="center"/>
    </xf>
    <xf numFmtId="0" fontId="10" fillId="5" borderId="0" xfId="0" applyFont="1" applyFill="1" applyAlignment="1">
      <alignment vertical="center"/>
    </xf>
    <xf numFmtId="0" fontId="10" fillId="5" borderId="2" xfId="0" applyFont="1" applyFill="1" applyBorder="1" applyAlignment="1">
      <alignment horizontal="left" vertical="center"/>
    </xf>
    <xf numFmtId="0" fontId="1" fillId="3" borderId="0" xfId="0" applyFont="1" applyFill="1" applyAlignment="1">
      <alignment horizontal="center" vertical="center"/>
    </xf>
    <xf numFmtId="0" fontId="10" fillId="0" borderId="0" xfId="0" applyFont="1"/>
    <xf numFmtId="0" fontId="2" fillId="4" borderId="0" xfId="0" applyFont="1" applyFill="1" applyAlignment="1">
      <alignment horizontal="center"/>
    </xf>
  </cellXfs>
  <cellStyles count="1">
    <cellStyle name="Normal" xfId="0" builtinId="0"/>
  </cellStyles>
  <dxfs count="380">
    <dxf>
      <font>
        <b val="0"/>
        <i val="0"/>
        <strike val="0"/>
        <condense val="0"/>
        <extend val="0"/>
        <outline val="0"/>
        <shadow val="0"/>
        <u val="none"/>
        <vertAlign val="baseline"/>
        <sz val="10"/>
        <color rgb="FF434343"/>
        <name val="Roboto"/>
        <scheme val="none"/>
      </font>
      <alignment horizontal="general" vertical="center" textRotation="0" wrapText="1" indent="0" justifyLastLine="0" shrinkToFit="0" readingOrder="0"/>
    </dxf>
    <dxf>
      <font>
        <b val="0"/>
        <i val="0"/>
        <strike val="0"/>
        <condense val="0"/>
        <extend val="0"/>
        <outline val="0"/>
        <shadow val="0"/>
        <u val="none"/>
        <vertAlign val="baseline"/>
        <sz val="10"/>
        <color rgb="FFB10202"/>
        <name val="Roboto"/>
        <scheme val="none"/>
      </font>
      <alignment horizontal="general" vertical="center" textRotation="0" wrapText="0" indent="0" justifyLastLine="0" shrinkToFit="0" readingOrder="0"/>
    </dxf>
    <dxf>
      <font>
        <b val="0"/>
        <i val="0"/>
        <strike val="0"/>
        <condense val="0"/>
        <extend val="0"/>
        <outline val="0"/>
        <shadow val="0"/>
        <u val="none"/>
        <vertAlign val="baseline"/>
        <sz val="10"/>
        <color rgb="FF434343"/>
        <name val="Roboto"/>
        <scheme val="none"/>
      </font>
      <alignment horizontal="general" vertical="center" textRotation="0" wrapText="1" indent="0" justifyLastLine="0" shrinkToFit="0" readingOrder="0"/>
    </dxf>
    <dxf>
      <font>
        <b val="0"/>
        <i val="0"/>
        <strike val="0"/>
        <condense val="0"/>
        <extend val="0"/>
        <outline val="0"/>
        <shadow val="0"/>
        <u val="none"/>
        <vertAlign val="baseline"/>
        <sz val="10"/>
        <color rgb="FF434343"/>
        <name val="Roboto"/>
        <scheme val="none"/>
      </font>
      <alignment horizontal="general" vertical="center" textRotation="0" wrapText="0" indent="0" justifyLastLine="0" shrinkToFit="0" readingOrder="0"/>
    </dxf>
    <dxf>
      <font>
        <b val="0"/>
        <i val="0"/>
        <strike val="0"/>
        <condense val="0"/>
        <extend val="0"/>
        <outline val="0"/>
        <shadow val="0"/>
        <u val="none"/>
        <vertAlign val="baseline"/>
        <sz val="10"/>
        <color rgb="FF434343"/>
        <name val="Roboto"/>
        <scheme val="none"/>
      </font>
      <alignment horizontal="general" vertical="center" textRotation="0" wrapText="0" indent="0" justifyLastLine="0" shrinkToFit="0" readingOrder="0"/>
    </dxf>
    <dxf>
      <font>
        <color theme="7" tint="-0.24994659260841701"/>
      </font>
      <fill>
        <patternFill>
          <bgColor theme="7" tint="0.79998168889431442"/>
        </patternFill>
      </fill>
    </dxf>
    <dxf>
      <font>
        <color theme="6" tint="-0.24994659260841701"/>
      </font>
      <fill>
        <patternFill>
          <bgColor theme="6" tint="0.79998168889431442"/>
        </patternFill>
      </fill>
    </dxf>
    <dxf>
      <font>
        <color theme="5" tint="-0.24994659260841701"/>
      </font>
      <fill>
        <patternFill>
          <bgColor theme="5" tint="0.79998168889431442"/>
        </patternFill>
      </fill>
    </dxf>
    <dxf>
      <font>
        <color theme="7" tint="-0.24994659260841701"/>
      </font>
      <fill>
        <patternFill>
          <bgColor theme="7" tint="0.79998168889431442"/>
        </patternFill>
      </fill>
    </dxf>
    <dxf>
      <font>
        <color theme="6" tint="-0.24994659260841701"/>
      </font>
      <fill>
        <patternFill>
          <bgColor theme="6" tint="0.79998168889431442"/>
        </patternFill>
      </fill>
    </dxf>
    <dxf>
      <font>
        <color theme="5" tint="-0.24994659260841701"/>
      </font>
      <fill>
        <patternFill>
          <bgColor theme="5" tint="0.79998168889431442"/>
        </patternFill>
      </fill>
    </dxf>
    <dxf>
      <font>
        <color theme="7" tint="-0.24994659260841701"/>
      </font>
      <fill>
        <patternFill>
          <bgColor theme="7" tint="0.79998168889431442"/>
        </patternFill>
      </fill>
    </dxf>
    <dxf>
      <font>
        <color theme="6" tint="-0.24994659260841701"/>
      </font>
      <fill>
        <patternFill>
          <bgColor theme="6" tint="0.79998168889431442"/>
        </patternFill>
      </fill>
    </dxf>
    <dxf>
      <font>
        <color theme="5" tint="-0.24994659260841701"/>
      </font>
      <fill>
        <patternFill>
          <bgColor theme="5" tint="0.79998168889431442"/>
        </patternFill>
      </fill>
    </dxf>
    <dxf>
      <font>
        <color theme="7" tint="-0.24994659260841701"/>
      </font>
      <fill>
        <patternFill>
          <bgColor theme="7" tint="0.79998168889431442"/>
        </patternFill>
      </fill>
    </dxf>
    <dxf>
      <font>
        <color theme="6" tint="-0.24994659260841701"/>
      </font>
      <fill>
        <patternFill>
          <bgColor theme="6" tint="0.79998168889431442"/>
        </patternFill>
      </fill>
    </dxf>
    <dxf>
      <font>
        <color theme="5" tint="-0.24994659260841701"/>
      </font>
      <fill>
        <patternFill>
          <bgColor theme="5" tint="0.79998168889431442"/>
        </patternFill>
      </fill>
    </dxf>
    <dxf>
      <font>
        <color theme="7" tint="-0.24994659260841701"/>
      </font>
      <fill>
        <patternFill>
          <bgColor theme="7" tint="0.79998168889431442"/>
        </patternFill>
      </fill>
    </dxf>
    <dxf>
      <font>
        <color theme="6" tint="-0.24994659260841701"/>
      </font>
      <fill>
        <patternFill>
          <bgColor theme="6" tint="0.79998168889431442"/>
        </patternFill>
      </fill>
    </dxf>
    <dxf>
      <font>
        <color theme="5" tint="-0.24994659260841701"/>
      </font>
      <fill>
        <patternFill>
          <bgColor theme="5" tint="0.79998168889431442"/>
        </patternFill>
      </fill>
    </dxf>
    <dxf>
      <font>
        <color theme="7" tint="-0.24994659260841701"/>
      </font>
      <fill>
        <patternFill>
          <bgColor theme="7" tint="0.79998168889431442"/>
        </patternFill>
      </fill>
    </dxf>
    <dxf>
      <font>
        <color theme="6" tint="-0.24994659260841701"/>
      </font>
      <fill>
        <patternFill>
          <bgColor theme="6" tint="0.79998168889431442"/>
        </patternFill>
      </fill>
    </dxf>
    <dxf>
      <font>
        <color theme="5" tint="-0.24994659260841701"/>
      </font>
      <fill>
        <patternFill>
          <bgColor theme="5" tint="0.79998168889431442"/>
        </patternFill>
      </fill>
    </dxf>
    <dxf>
      <font>
        <color theme="7" tint="-0.24994659260841701"/>
      </font>
      <fill>
        <patternFill>
          <bgColor theme="7" tint="0.79998168889431442"/>
        </patternFill>
      </fill>
    </dxf>
    <dxf>
      <font>
        <color theme="6" tint="-0.24994659260841701"/>
      </font>
      <fill>
        <patternFill>
          <bgColor theme="6" tint="0.79998168889431442"/>
        </patternFill>
      </fill>
    </dxf>
    <dxf>
      <font>
        <color theme="5" tint="-0.24994659260841701"/>
      </font>
      <fill>
        <patternFill>
          <bgColor theme="5" tint="0.79998168889431442"/>
        </patternFill>
      </fill>
    </dxf>
    <dxf>
      <font>
        <color theme="7" tint="-0.24994659260841701"/>
      </font>
      <fill>
        <patternFill>
          <bgColor theme="7" tint="0.79998168889431442"/>
        </patternFill>
      </fill>
    </dxf>
    <dxf>
      <font>
        <color theme="6" tint="-0.24994659260841701"/>
      </font>
      <fill>
        <patternFill>
          <bgColor theme="6" tint="0.79998168889431442"/>
        </patternFill>
      </fill>
    </dxf>
    <dxf>
      <font>
        <color theme="5" tint="-0.24994659260841701"/>
      </font>
      <fill>
        <patternFill>
          <bgColor theme="5" tint="0.79998168889431442"/>
        </patternFill>
      </fill>
    </dxf>
    <dxf>
      <font>
        <color theme="7" tint="-0.24994659260841701"/>
      </font>
      <fill>
        <patternFill>
          <bgColor theme="7" tint="0.79998168889431442"/>
        </patternFill>
      </fill>
    </dxf>
    <dxf>
      <font>
        <color theme="6" tint="-0.24994659260841701"/>
      </font>
      <fill>
        <patternFill>
          <bgColor theme="6" tint="0.79998168889431442"/>
        </patternFill>
      </fill>
    </dxf>
    <dxf>
      <font>
        <color theme="5" tint="-0.24994659260841701"/>
      </font>
      <fill>
        <patternFill>
          <bgColor theme="5" tint="0.79998168889431442"/>
        </patternFill>
      </fill>
    </dxf>
    <dxf>
      <font>
        <color theme="7" tint="-0.24994659260841701"/>
      </font>
      <fill>
        <patternFill>
          <bgColor theme="7" tint="0.79998168889431442"/>
        </patternFill>
      </fill>
    </dxf>
    <dxf>
      <font>
        <color theme="6" tint="-0.24994659260841701"/>
      </font>
      <fill>
        <patternFill>
          <bgColor theme="6" tint="0.79998168889431442"/>
        </patternFill>
      </fill>
    </dxf>
    <dxf>
      <font>
        <color theme="5" tint="-0.24994659260841701"/>
      </font>
      <fill>
        <patternFill>
          <bgColor theme="5" tint="0.79998168889431442"/>
        </patternFill>
      </fill>
    </dxf>
    <dxf>
      <font>
        <color theme="7" tint="-0.24994659260841701"/>
      </font>
      <fill>
        <patternFill>
          <bgColor theme="7" tint="0.79998168889431442"/>
        </patternFill>
      </fill>
    </dxf>
    <dxf>
      <font>
        <color theme="6" tint="-0.24994659260841701"/>
      </font>
      <fill>
        <patternFill>
          <bgColor theme="6" tint="0.79998168889431442"/>
        </patternFill>
      </fill>
    </dxf>
    <dxf>
      <font>
        <color theme="5" tint="-0.24994659260841701"/>
      </font>
      <fill>
        <patternFill>
          <bgColor theme="5" tint="0.79998168889431442"/>
        </patternFill>
      </fill>
    </dxf>
    <dxf>
      <font>
        <color theme="7" tint="-0.24994659260841701"/>
      </font>
      <fill>
        <patternFill>
          <bgColor theme="7" tint="0.79998168889431442"/>
        </patternFill>
      </fill>
    </dxf>
    <dxf>
      <font>
        <color theme="6" tint="-0.24994659260841701"/>
      </font>
      <fill>
        <patternFill>
          <bgColor theme="6" tint="0.79998168889431442"/>
        </patternFill>
      </fill>
    </dxf>
    <dxf>
      <font>
        <color theme="5" tint="-0.24994659260841701"/>
      </font>
      <fill>
        <patternFill>
          <bgColor theme="5" tint="0.79998168889431442"/>
        </patternFill>
      </fill>
    </dxf>
    <dxf>
      <font>
        <color theme="7" tint="-0.24994659260841701"/>
      </font>
      <fill>
        <patternFill>
          <bgColor theme="7" tint="0.79998168889431442"/>
        </patternFill>
      </fill>
    </dxf>
    <dxf>
      <font>
        <color theme="6" tint="-0.24994659260841701"/>
      </font>
      <fill>
        <patternFill>
          <bgColor theme="6" tint="0.79998168889431442"/>
        </patternFill>
      </fill>
    </dxf>
    <dxf>
      <font>
        <color theme="5" tint="-0.24994659260841701"/>
      </font>
      <fill>
        <patternFill>
          <bgColor theme="5" tint="0.79998168889431442"/>
        </patternFill>
      </fill>
    </dxf>
    <dxf>
      <font>
        <color theme="7" tint="-0.24994659260841701"/>
      </font>
      <fill>
        <patternFill>
          <bgColor theme="7" tint="0.79998168889431442"/>
        </patternFill>
      </fill>
    </dxf>
    <dxf>
      <font>
        <color theme="6" tint="-0.24994659260841701"/>
      </font>
      <fill>
        <patternFill>
          <bgColor theme="6" tint="0.79998168889431442"/>
        </patternFill>
      </fill>
    </dxf>
    <dxf>
      <font>
        <color theme="5" tint="-0.24994659260841701"/>
      </font>
      <fill>
        <patternFill>
          <bgColor theme="5" tint="0.79998168889431442"/>
        </patternFill>
      </fill>
    </dxf>
    <dxf>
      <font>
        <strike val="0"/>
        <outline val="0"/>
        <shadow val="0"/>
        <u val="none"/>
        <vertAlign val="baseline"/>
        <name val="Roboto"/>
        <scheme val="none"/>
      </font>
    </dxf>
    <dxf>
      <font>
        <b val="0"/>
        <i val="0"/>
        <strike val="0"/>
        <condense val="0"/>
        <extend val="0"/>
        <outline val="0"/>
        <shadow val="0"/>
        <u val="none"/>
        <vertAlign val="baseline"/>
        <sz val="10"/>
        <color rgb="FF473821"/>
        <name val="Roboto"/>
        <scheme val="none"/>
      </font>
      <alignment horizontal="general" vertical="center" textRotation="0" wrapText="0" indent="0" justifyLastLine="0" shrinkToFit="0" readingOrder="0"/>
    </dxf>
    <dxf>
      <font>
        <strike val="0"/>
        <outline val="0"/>
        <shadow val="0"/>
        <u val="none"/>
        <vertAlign val="baseline"/>
        <name val="Roboto"/>
        <scheme val="none"/>
      </font>
    </dxf>
    <dxf>
      <font>
        <strike val="0"/>
        <outline val="0"/>
        <shadow val="0"/>
        <u val="none"/>
        <vertAlign val="baseline"/>
        <name val="Roboto"/>
        <scheme val="none"/>
      </font>
    </dxf>
    <dxf>
      <font>
        <strike val="0"/>
        <outline val="0"/>
        <shadow val="0"/>
        <u val="none"/>
        <vertAlign val="baseline"/>
        <name val="Roboto"/>
        <scheme val="none"/>
      </font>
    </dxf>
    <dxf>
      <font>
        <strike val="0"/>
        <outline val="0"/>
        <shadow val="0"/>
        <u val="none"/>
        <vertAlign val="baseline"/>
        <name val="Roboto"/>
        <scheme val="none"/>
      </font>
    </dxf>
    <dxf>
      <font>
        <strike val="0"/>
        <outline val="0"/>
        <shadow val="0"/>
        <u val="none"/>
        <vertAlign val="baseline"/>
        <name val="Roboto"/>
        <scheme val="none"/>
      </font>
    </dxf>
    <dxf>
      <font>
        <b/>
        <strike val="0"/>
        <outline val="0"/>
        <shadow val="0"/>
        <u val="none"/>
        <vertAlign val="baseline"/>
        <sz val="10"/>
        <color theme="0"/>
        <name val="Roboto"/>
        <scheme val="none"/>
      </font>
    </dxf>
    <dxf>
      <font>
        <strike val="0"/>
        <outline val="0"/>
        <shadow val="0"/>
        <u val="none"/>
        <vertAlign val="baseline"/>
        <name val="Roboto"/>
        <scheme val="none"/>
      </font>
    </dxf>
    <dxf>
      <font>
        <strike val="0"/>
        <outline val="0"/>
        <shadow val="0"/>
        <u val="none"/>
        <vertAlign val="baseline"/>
        <name val="Roboto"/>
        <scheme val="none"/>
      </font>
    </dxf>
    <dxf>
      <font>
        <strike val="0"/>
        <outline val="0"/>
        <shadow val="0"/>
        <u val="none"/>
        <vertAlign val="baseline"/>
        <name val="Roboto"/>
        <scheme val="none"/>
      </font>
    </dxf>
    <dxf>
      <font>
        <b val="0"/>
        <i val="0"/>
        <strike val="0"/>
        <condense val="0"/>
        <extend val="0"/>
        <outline val="0"/>
        <shadow val="0"/>
        <u val="none"/>
        <vertAlign val="baseline"/>
        <sz val="10"/>
        <color rgb="FF473821"/>
        <name val="Roboto"/>
        <scheme val="none"/>
      </font>
      <alignment horizontal="general" vertical="center" textRotation="0" wrapText="0" indent="0" justifyLastLine="0" shrinkToFit="0" readingOrder="0"/>
    </dxf>
    <dxf>
      <font>
        <strike val="0"/>
        <outline val="0"/>
        <shadow val="0"/>
        <u val="none"/>
        <vertAlign val="baseline"/>
        <name val="Roboto"/>
        <scheme val="none"/>
      </font>
    </dxf>
    <dxf>
      <font>
        <strike val="0"/>
        <outline val="0"/>
        <shadow val="0"/>
        <u val="none"/>
        <vertAlign val="baseline"/>
        <name val="Roboto"/>
        <scheme val="none"/>
      </font>
    </dxf>
    <dxf>
      <font>
        <strike val="0"/>
        <outline val="0"/>
        <shadow val="0"/>
        <u val="none"/>
        <vertAlign val="baseline"/>
        <name val="Roboto"/>
        <scheme val="none"/>
      </font>
    </dxf>
    <dxf>
      <font>
        <strike val="0"/>
        <outline val="0"/>
        <shadow val="0"/>
        <u val="none"/>
        <vertAlign val="baseline"/>
        <name val="Roboto"/>
        <scheme val="none"/>
      </font>
    </dxf>
    <dxf>
      <font>
        <strike val="0"/>
        <outline val="0"/>
        <shadow val="0"/>
        <u val="none"/>
        <vertAlign val="baseline"/>
        <name val="Roboto"/>
        <scheme val="none"/>
      </font>
    </dxf>
    <dxf>
      <font>
        <strike val="0"/>
        <outline val="0"/>
        <shadow val="0"/>
        <u val="none"/>
        <vertAlign val="baseline"/>
        <name val="Roboto"/>
        <scheme val="none"/>
      </font>
    </dxf>
    <dxf>
      <font>
        <strike val="0"/>
        <outline val="0"/>
        <shadow val="0"/>
        <u val="none"/>
        <vertAlign val="baseline"/>
        <name val="Roboto"/>
        <scheme val="none"/>
      </font>
    </dxf>
    <dxf>
      <font>
        <strike val="0"/>
        <outline val="0"/>
        <shadow val="0"/>
        <u val="none"/>
        <vertAlign val="baseline"/>
        <name val="Roboto"/>
        <scheme val="none"/>
      </font>
    </dxf>
    <dxf>
      <font>
        <b/>
        <strike val="0"/>
        <outline val="0"/>
        <shadow val="0"/>
        <u val="none"/>
        <vertAlign val="baseline"/>
        <sz val="10"/>
        <color theme="0"/>
        <name val="Roboto"/>
        <scheme val="none"/>
      </font>
    </dxf>
    <dxf>
      <font>
        <strike val="0"/>
        <outline val="0"/>
        <shadow val="0"/>
        <u val="none"/>
        <vertAlign val="baseline"/>
        <name val="Roboto"/>
        <scheme val="none"/>
      </font>
    </dxf>
    <dxf>
      <font>
        <strike val="0"/>
        <outline val="0"/>
        <shadow val="0"/>
        <u val="none"/>
        <vertAlign val="baseline"/>
        <name val="Roboto"/>
        <scheme val="none"/>
      </font>
    </dxf>
    <dxf>
      <font>
        <strike val="0"/>
        <outline val="0"/>
        <shadow val="0"/>
        <u val="none"/>
        <vertAlign val="baseline"/>
        <name val="Roboto"/>
        <scheme val="none"/>
      </font>
    </dxf>
    <dxf>
      <font>
        <strike val="0"/>
        <outline val="0"/>
        <shadow val="0"/>
        <u val="none"/>
        <vertAlign val="baseline"/>
        <name val="Roboto"/>
        <scheme val="none"/>
      </font>
    </dxf>
    <dxf>
      <font>
        <strike val="0"/>
        <outline val="0"/>
        <shadow val="0"/>
        <u val="none"/>
        <vertAlign val="baseline"/>
        <name val="Roboto"/>
        <scheme val="none"/>
      </font>
    </dxf>
    <dxf>
      <font>
        <b/>
        <strike val="0"/>
        <outline val="0"/>
        <shadow val="0"/>
        <u val="none"/>
        <vertAlign val="baseline"/>
        <sz val="10"/>
        <color theme="0"/>
        <name val="Roboto"/>
        <scheme val="none"/>
      </font>
    </dxf>
    <dxf>
      <font>
        <strike val="0"/>
        <outline val="0"/>
        <shadow val="0"/>
        <u val="none"/>
        <vertAlign val="baseline"/>
        <name val="Roboto"/>
        <scheme val="none"/>
      </font>
    </dxf>
    <dxf>
      <font>
        <strike val="0"/>
        <outline val="0"/>
        <shadow val="0"/>
        <u val="none"/>
        <vertAlign val="baseline"/>
        <name val="Roboto"/>
        <scheme val="none"/>
      </font>
    </dxf>
    <dxf>
      <font>
        <strike val="0"/>
        <outline val="0"/>
        <shadow val="0"/>
        <u val="none"/>
        <vertAlign val="baseline"/>
        <name val="Roboto"/>
        <scheme val="none"/>
      </font>
    </dxf>
    <dxf>
      <font>
        <b val="0"/>
        <i val="0"/>
        <strike val="0"/>
        <condense val="0"/>
        <extend val="0"/>
        <outline val="0"/>
        <shadow val="0"/>
        <u val="none"/>
        <vertAlign val="baseline"/>
        <sz val="10"/>
        <color rgb="FF473821"/>
        <name val="Roboto"/>
        <scheme val="none"/>
      </font>
      <alignment horizontal="general" vertical="center" textRotation="0" wrapText="0" indent="0" justifyLastLine="0" shrinkToFit="0" readingOrder="0"/>
    </dxf>
    <dxf>
      <font>
        <strike val="0"/>
        <outline val="0"/>
        <shadow val="0"/>
        <u val="none"/>
        <vertAlign val="baseline"/>
        <name val="Roboto"/>
        <scheme val="none"/>
      </font>
    </dxf>
    <dxf>
      <font>
        <strike val="0"/>
        <outline val="0"/>
        <shadow val="0"/>
        <u val="none"/>
        <vertAlign val="baseline"/>
        <name val="Roboto"/>
        <scheme val="none"/>
      </font>
    </dxf>
    <dxf>
      <font>
        <strike val="0"/>
        <outline val="0"/>
        <shadow val="0"/>
        <u val="none"/>
        <vertAlign val="baseline"/>
        <name val="Roboto"/>
        <scheme val="none"/>
      </font>
    </dxf>
    <dxf>
      <font>
        <strike val="0"/>
        <outline val="0"/>
        <shadow val="0"/>
        <u val="none"/>
        <vertAlign val="baseline"/>
        <name val="Roboto"/>
        <scheme val="none"/>
      </font>
    </dxf>
    <dxf>
      <font>
        <strike val="0"/>
        <outline val="0"/>
        <shadow val="0"/>
        <u val="none"/>
        <vertAlign val="baseline"/>
        <name val="Roboto"/>
        <scheme val="none"/>
      </font>
    </dxf>
    <dxf>
      <font>
        <strike val="0"/>
        <outline val="0"/>
        <shadow val="0"/>
        <u val="none"/>
        <vertAlign val="baseline"/>
        <name val="Roboto"/>
        <scheme val="none"/>
      </font>
    </dxf>
    <dxf>
      <font>
        <strike val="0"/>
        <outline val="0"/>
        <shadow val="0"/>
        <u val="none"/>
        <vertAlign val="baseline"/>
        <name val="Roboto"/>
        <scheme val="none"/>
      </font>
    </dxf>
    <dxf>
      <font>
        <strike val="0"/>
        <outline val="0"/>
        <shadow val="0"/>
        <u val="none"/>
        <vertAlign val="baseline"/>
        <name val="Roboto"/>
        <scheme val="none"/>
      </font>
    </dxf>
    <dxf>
      <font>
        <b/>
        <strike val="0"/>
        <outline val="0"/>
        <shadow val="0"/>
        <u val="none"/>
        <vertAlign val="baseline"/>
        <sz val="10"/>
        <color theme="0"/>
        <name val="Roboto"/>
        <scheme val="none"/>
      </font>
    </dxf>
    <dxf>
      <font>
        <strike val="0"/>
        <outline val="0"/>
        <shadow val="0"/>
        <u val="none"/>
        <vertAlign val="baseline"/>
        <name val="Roboto"/>
        <scheme val="none"/>
      </font>
    </dxf>
    <dxf>
      <font>
        <strike val="0"/>
        <outline val="0"/>
        <shadow val="0"/>
        <u val="none"/>
        <vertAlign val="baseline"/>
        <name val="Roboto"/>
        <scheme val="none"/>
      </font>
    </dxf>
    <dxf>
      <font>
        <strike val="0"/>
        <outline val="0"/>
        <shadow val="0"/>
        <u val="none"/>
        <vertAlign val="baseline"/>
        <name val="Roboto"/>
        <scheme val="none"/>
      </font>
    </dxf>
    <dxf>
      <font>
        <b val="0"/>
        <i val="0"/>
        <strike val="0"/>
        <condense val="0"/>
        <extend val="0"/>
        <outline val="0"/>
        <shadow val="0"/>
        <u val="none"/>
        <vertAlign val="baseline"/>
        <sz val="10"/>
        <color rgb="FF473821"/>
        <name val="Roboto"/>
        <scheme val="none"/>
      </font>
      <alignment horizontal="general" vertical="center" textRotation="0" wrapText="0" indent="0" justifyLastLine="0" shrinkToFit="0" readingOrder="0"/>
    </dxf>
    <dxf>
      <font>
        <strike val="0"/>
        <outline val="0"/>
        <shadow val="0"/>
        <u val="none"/>
        <vertAlign val="baseline"/>
        <name val="Roboto"/>
        <scheme val="none"/>
      </font>
    </dxf>
    <dxf>
      <font>
        <strike val="0"/>
        <outline val="0"/>
        <shadow val="0"/>
        <u val="none"/>
        <vertAlign val="baseline"/>
        <name val="Roboto"/>
        <scheme val="none"/>
      </font>
    </dxf>
    <dxf>
      <font>
        <strike val="0"/>
        <outline val="0"/>
        <shadow val="0"/>
        <u val="none"/>
        <vertAlign val="baseline"/>
        <name val="Roboto"/>
        <scheme val="none"/>
      </font>
    </dxf>
    <dxf>
      <font>
        <strike val="0"/>
        <outline val="0"/>
        <shadow val="0"/>
        <u val="none"/>
        <vertAlign val="baseline"/>
        <name val="Roboto"/>
        <scheme val="none"/>
      </font>
    </dxf>
    <dxf>
      <font>
        <strike val="0"/>
        <outline val="0"/>
        <shadow val="0"/>
        <u val="none"/>
        <vertAlign val="baseline"/>
        <name val="Roboto"/>
        <scheme val="none"/>
      </font>
    </dxf>
    <dxf>
      <font>
        <strike val="0"/>
        <outline val="0"/>
        <shadow val="0"/>
        <u val="none"/>
        <vertAlign val="baseline"/>
        <name val="Roboto"/>
        <scheme val="none"/>
      </font>
    </dxf>
    <dxf>
      <font>
        <strike val="0"/>
        <outline val="0"/>
        <shadow val="0"/>
        <u val="none"/>
        <vertAlign val="baseline"/>
        <name val="Roboto"/>
        <scheme val="none"/>
      </font>
    </dxf>
    <dxf>
      <font>
        <strike val="0"/>
        <outline val="0"/>
        <shadow val="0"/>
        <u val="none"/>
        <vertAlign val="baseline"/>
        <name val="Roboto"/>
        <scheme val="none"/>
      </font>
    </dxf>
    <dxf>
      <font>
        <b/>
        <strike val="0"/>
        <outline val="0"/>
        <shadow val="0"/>
        <u val="none"/>
        <vertAlign val="baseline"/>
        <sz val="10"/>
        <color theme="0"/>
        <name val="Roboto"/>
        <scheme val="none"/>
      </font>
    </dxf>
    <dxf>
      <font>
        <strike val="0"/>
        <outline val="0"/>
        <shadow val="0"/>
        <u val="none"/>
        <vertAlign val="baseline"/>
        <name val="Roboto"/>
        <scheme val="none"/>
      </font>
    </dxf>
    <dxf>
      <font>
        <strike val="0"/>
        <outline val="0"/>
        <shadow val="0"/>
        <u val="none"/>
        <vertAlign val="baseline"/>
        <name val="Roboto"/>
        <scheme val="none"/>
      </font>
    </dxf>
    <dxf>
      <font>
        <strike val="0"/>
        <outline val="0"/>
        <shadow val="0"/>
        <u val="none"/>
        <vertAlign val="baseline"/>
        <name val="Roboto"/>
        <scheme val="none"/>
      </font>
    </dxf>
    <dxf>
      <font>
        <strike val="0"/>
        <outline val="0"/>
        <shadow val="0"/>
        <u val="none"/>
        <vertAlign val="baseline"/>
        <name val="Roboto"/>
        <scheme val="none"/>
      </font>
    </dxf>
    <dxf>
      <font>
        <strike val="0"/>
        <outline val="0"/>
        <shadow val="0"/>
        <u val="none"/>
        <vertAlign val="baseline"/>
        <name val="Roboto"/>
        <scheme val="none"/>
      </font>
    </dxf>
    <dxf>
      <font>
        <b/>
        <strike val="0"/>
        <outline val="0"/>
        <shadow val="0"/>
        <u val="none"/>
        <vertAlign val="baseline"/>
        <sz val="10"/>
        <color theme="0"/>
        <name val="Roboto"/>
        <scheme val="none"/>
      </font>
    </dxf>
    <dxf>
      <font>
        <b val="0"/>
        <i val="0"/>
        <strike val="0"/>
        <condense val="0"/>
        <extend val="0"/>
        <outline val="0"/>
        <shadow val="0"/>
        <u val="none"/>
        <vertAlign val="baseline"/>
        <sz val="10"/>
        <color theme="1"/>
        <name val="Roboto"/>
        <scheme val="none"/>
      </font>
      <alignment horizontal="general" vertical="center" textRotation="0" wrapText="0" indent="0" justifyLastLine="0" shrinkToFit="0" readingOrder="0"/>
    </dxf>
    <dxf>
      <font>
        <strike val="0"/>
        <outline val="0"/>
        <shadow val="0"/>
        <u val="none"/>
        <vertAlign val="baseline"/>
        <name val="Roboto"/>
        <scheme val="none"/>
      </font>
    </dxf>
    <dxf>
      <font>
        <b val="0"/>
        <i val="0"/>
        <strike val="0"/>
        <condense val="0"/>
        <extend val="0"/>
        <outline val="0"/>
        <shadow val="0"/>
        <u val="none"/>
        <vertAlign val="baseline"/>
        <sz val="10"/>
        <color theme="1"/>
        <name val="Roboto"/>
        <scheme val="none"/>
      </font>
      <alignment horizontal="general" vertical="center" textRotation="0" wrapText="0" indent="0" justifyLastLine="0" shrinkToFit="0" readingOrder="0"/>
    </dxf>
    <dxf>
      <font>
        <b val="0"/>
        <i val="0"/>
        <strike val="0"/>
        <condense val="0"/>
        <extend val="0"/>
        <outline val="0"/>
        <shadow val="0"/>
        <u val="none"/>
        <vertAlign val="baseline"/>
        <sz val="10"/>
        <color rgb="FF473821"/>
        <name val="Roboto"/>
        <scheme val="none"/>
      </font>
      <alignment horizontal="general" vertical="center" textRotation="0" wrapText="0" indent="0" justifyLastLine="0" shrinkToFit="0" readingOrder="0"/>
    </dxf>
    <dxf>
      <font>
        <b val="0"/>
        <i val="0"/>
        <strike val="0"/>
        <condense val="0"/>
        <extend val="0"/>
        <outline val="0"/>
        <shadow val="0"/>
        <u val="none"/>
        <vertAlign val="baseline"/>
        <sz val="10"/>
        <color theme="1"/>
        <name val="Roboto"/>
        <scheme val="none"/>
      </font>
      <alignment horizontal="general" vertical="center" textRotation="0" wrapText="0" indent="0" justifyLastLine="0" shrinkToFit="0" readingOrder="0"/>
    </dxf>
    <dxf>
      <font>
        <strike val="0"/>
        <outline val="0"/>
        <shadow val="0"/>
        <u val="none"/>
        <vertAlign val="baseline"/>
        <name val="Roboto"/>
        <scheme val="none"/>
      </font>
    </dxf>
    <dxf>
      <font>
        <b val="0"/>
        <i val="0"/>
        <strike val="0"/>
        <condense val="0"/>
        <extend val="0"/>
        <outline val="0"/>
        <shadow val="0"/>
        <u val="none"/>
        <vertAlign val="baseline"/>
        <sz val="10"/>
        <color theme="1"/>
        <name val="Roboto"/>
        <scheme val="none"/>
      </font>
      <alignment horizontal="general" vertical="center" textRotation="0" wrapText="0" indent="0" justifyLastLine="0" shrinkToFit="0" readingOrder="0"/>
    </dxf>
    <dxf>
      <font>
        <strike val="0"/>
        <outline val="0"/>
        <shadow val="0"/>
        <u val="none"/>
        <vertAlign val="baseline"/>
        <name val="Roboto"/>
        <scheme val="none"/>
      </font>
    </dxf>
    <dxf>
      <font>
        <b val="0"/>
        <i val="0"/>
        <strike val="0"/>
        <condense val="0"/>
        <extend val="0"/>
        <outline val="0"/>
        <shadow val="0"/>
        <u val="none"/>
        <vertAlign val="baseline"/>
        <sz val="10"/>
        <color theme="1"/>
        <name val="Roboto"/>
        <scheme val="none"/>
      </font>
      <alignment horizontal="general" vertical="center" textRotation="0" wrapText="0" indent="0" justifyLastLine="0" shrinkToFit="0" readingOrder="0"/>
    </dxf>
    <dxf>
      <font>
        <strike val="0"/>
        <outline val="0"/>
        <shadow val="0"/>
        <u val="none"/>
        <vertAlign val="baseline"/>
        <name val="Roboto"/>
        <scheme val="none"/>
      </font>
    </dxf>
    <dxf>
      <font>
        <strike val="0"/>
        <outline val="0"/>
        <shadow val="0"/>
        <u val="none"/>
        <vertAlign val="baseline"/>
        <name val="Roboto"/>
        <scheme val="none"/>
      </font>
    </dxf>
    <dxf>
      <font>
        <strike val="0"/>
        <outline val="0"/>
        <shadow val="0"/>
        <u val="none"/>
        <vertAlign val="baseline"/>
        <name val="Roboto"/>
        <scheme val="none"/>
      </font>
    </dxf>
    <dxf>
      <font>
        <b/>
        <strike val="0"/>
        <outline val="0"/>
        <shadow val="0"/>
        <u val="none"/>
        <vertAlign val="baseline"/>
        <sz val="10"/>
        <color theme="0"/>
        <name val="Roboto"/>
        <scheme val="none"/>
      </font>
    </dxf>
    <dxf>
      <font>
        <strike val="0"/>
        <outline val="0"/>
        <shadow val="0"/>
        <u val="none"/>
        <vertAlign val="baseline"/>
        <name val="Roboto"/>
        <scheme val="none"/>
      </font>
    </dxf>
    <dxf>
      <font>
        <strike val="0"/>
        <outline val="0"/>
        <shadow val="0"/>
        <u val="none"/>
        <vertAlign val="baseline"/>
        <name val="Roboto"/>
        <scheme val="none"/>
      </font>
    </dxf>
    <dxf>
      <font>
        <strike val="0"/>
        <outline val="0"/>
        <shadow val="0"/>
        <u val="none"/>
        <vertAlign val="baseline"/>
        <name val="Roboto"/>
        <scheme val="none"/>
      </font>
    </dxf>
    <dxf>
      <font>
        <b val="0"/>
        <i val="0"/>
        <strike val="0"/>
        <condense val="0"/>
        <extend val="0"/>
        <outline val="0"/>
        <shadow val="0"/>
        <u val="none"/>
        <vertAlign val="baseline"/>
        <sz val="10"/>
        <color rgb="FF473821"/>
        <name val="Roboto"/>
        <scheme val="none"/>
      </font>
      <alignment horizontal="general" vertical="center" textRotation="0" wrapText="0" indent="0" justifyLastLine="0" shrinkToFit="0" readingOrder="0"/>
    </dxf>
    <dxf>
      <font>
        <strike val="0"/>
        <outline val="0"/>
        <shadow val="0"/>
        <u val="none"/>
        <vertAlign val="baseline"/>
        <name val="Roboto"/>
        <scheme val="none"/>
      </font>
    </dxf>
    <dxf>
      <font>
        <strike val="0"/>
        <outline val="0"/>
        <shadow val="0"/>
        <u val="none"/>
        <vertAlign val="baseline"/>
        <name val="Roboto"/>
        <scheme val="none"/>
      </font>
    </dxf>
    <dxf>
      <font>
        <strike val="0"/>
        <outline val="0"/>
        <shadow val="0"/>
        <u val="none"/>
        <vertAlign val="baseline"/>
        <name val="Roboto"/>
        <scheme val="none"/>
      </font>
    </dxf>
    <dxf>
      <font>
        <strike val="0"/>
        <outline val="0"/>
        <shadow val="0"/>
        <u val="none"/>
        <vertAlign val="baseline"/>
        <name val="Roboto"/>
        <scheme val="none"/>
      </font>
    </dxf>
    <dxf>
      <font>
        <strike val="0"/>
        <outline val="0"/>
        <shadow val="0"/>
        <u val="none"/>
        <vertAlign val="baseline"/>
        <name val="Roboto"/>
        <scheme val="none"/>
      </font>
    </dxf>
    <dxf>
      <font>
        <strike val="0"/>
        <outline val="0"/>
        <shadow val="0"/>
        <u val="none"/>
        <vertAlign val="baseline"/>
        <name val="Roboto"/>
        <scheme val="none"/>
      </font>
    </dxf>
    <dxf>
      <font>
        <strike val="0"/>
        <outline val="0"/>
        <shadow val="0"/>
        <u val="none"/>
        <vertAlign val="baseline"/>
        <name val="Roboto"/>
        <scheme val="none"/>
      </font>
    </dxf>
    <dxf>
      <font>
        <strike val="0"/>
        <outline val="0"/>
        <shadow val="0"/>
        <u val="none"/>
        <vertAlign val="baseline"/>
        <name val="Roboto"/>
        <scheme val="none"/>
      </font>
    </dxf>
    <dxf>
      <font>
        <b/>
        <strike val="0"/>
        <outline val="0"/>
        <shadow val="0"/>
        <u val="none"/>
        <vertAlign val="baseline"/>
        <sz val="10"/>
        <color theme="0"/>
        <name val="Roboto"/>
        <scheme val="none"/>
      </font>
    </dxf>
    <dxf>
      <font>
        <strike val="0"/>
        <outline val="0"/>
        <shadow val="0"/>
        <u val="none"/>
        <vertAlign val="baseline"/>
        <name val="Roboto"/>
        <scheme val="none"/>
      </font>
    </dxf>
    <dxf>
      <font>
        <strike val="0"/>
        <outline val="0"/>
        <shadow val="0"/>
        <u val="none"/>
        <vertAlign val="baseline"/>
        <name val="Roboto"/>
        <scheme val="none"/>
      </font>
    </dxf>
    <dxf>
      <font>
        <strike val="0"/>
        <outline val="0"/>
        <shadow val="0"/>
        <u val="none"/>
        <vertAlign val="baseline"/>
        <name val="Roboto"/>
        <scheme val="none"/>
      </font>
    </dxf>
    <dxf>
      <font>
        <strike val="0"/>
        <outline val="0"/>
        <shadow val="0"/>
        <u val="none"/>
        <vertAlign val="baseline"/>
        <name val="Roboto"/>
        <scheme val="none"/>
      </font>
    </dxf>
    <dxf>
      <font>
        <strike val="0"/>
        <outline val="0"/>
        <shadow val="0"/>
        <u val="none"/>
        <vertAlign val="baseline"/>
        <name val="Roboto"/>
        <scheme val="none"/>
      </font>
    </dxf>
    <dxf>
      <font>
        <b/>
        <strike val="0"/>
        <outline val="0"/>
        <shadow val="0"/>
        <u val="none"/>
        <vertAlign val="baseline"/>
        <sz val="10"/>
        <color theme="0"/>
        <name val="Roboto"/>
        <scheme val="none"/>
      </font>
    </dxf>
    <dxf>
      <font>
        <strike val="0"/>
        <outline val="0"/>
        <shadow val="0"/>
        <u val="none"/>
        <vertAlign val="baseline"/>
        <name val="Roboto"/>
        <scheme val="none"/>
      </font>
    </dxf>
    <dxf>
      <font>
        <strike val="0"/>
        <outline val="0"/>
        <shadow val="0"/>
        <u val="none"/>
        <vertAlign val="baseline"/>
        <name val="Roboto"/>
        <scheme val="none"/>
      </font>
    </dxf>
    <dxf>
      <font>
        <strike val="0"/>
        <outline val="0"/>
        <shadow val="0"/>
        <u val="none"/>
        <vertAlign val="baseline"/>
        <name val="Roboto"/>
        <scheme val="none"/>
      </font>
    </dxf>
    <dxf>
      <font>
        <b val="0"/>
        <i val="0"/>
        <strike val="0"/>
        <condense val="0"/>
        <extend val="0"/>
        <outline val="0"/>
        <shadow val="0"/>
        <u val="none"/>
        <vertAlign val="baseline"/>
        <sz val="10"/>
        <color rgb="FF473821"/>
        <name val="Roboto"/>
        <scheme val="none"/>
      </font>
      <alignment horizontal="general" vertical="center" textRotation="0" wrapText="0" indent="0" justifyLastLine="0" shrinkToFit="0" readingOrder="0"/>
    </dxf>
    <dxf>
      <font>
        <strike val="0"/>
        <outline val="0"/>
        <shadow val="0"/>
        <u val="none"/>
        <vertAlign val="baseline"/>
        <name val="Roboto"/>
        <scheme val="none"/>
      </font>
    </dxf>
    <dxf>
      <font>
        <strike val="0"/>
        <outline val="0"/>
        <shadow val="0"/>
        <u val="none"/>
        <vertAlign val="baseline"/>
        <name val="Roboto"/>
        <scheme val="none"/>
      </font>
    </dxf>
    <dxf>
      <font>
        <strike val="0"/>
        <outline val="0"/>
        <shadow val="0"/>
        <u val="none"/>
        <vertAlign val="baseline"/>
        <name val="Roboto"/>
        <scheme val="none"/>
      </font>
    </dxf>
    <dxf>
      <font>
        <strike val="0"/>
        <outline val="0"/>
        <shadow val="0"/>
        <u val="none"/>
        <vertAlign val="baseline"/>
        <name val="Roboto"/>
        <scheme val="none"/>
      </font>
    </dxf>
    <dxf>
      <font>
        <strike val="0"/>
        <outline val="0"/>
        <shadow val="0"/>
        <u val="none"/>
        <vertAlign val="baseline"/>
        <name val="Roboto"/>
        <scheme val="none"/>
      </font>
    </dxf>
    <dxf>
      <font>
        <strike val="0"/>
        <outline val="0"/>
        <shadow val="0"/>
        <u val="none"/>
        <vertAlign val="baseline"/>
        <name val="Roboto"/>
        <scheme val="none"/>
      </font>
    </dxf>
    <dxf>
      <font>
        <strike val="0"/>
        <outline val="0"/>
        <shadow val="0"/>
        <u val="none"/>
        <vertAlign val="baseline"/>
        <name val="Roboto"/>
        <scheme val="none"/>
      </font>
    </dxf>
    <dxf>
      <font>
        <strike val="0"/>
        <outline val="0"/>
        <shadow val="0"/>
        <u val="none"/>
        <vertAlign val="baseline"/>
        <name val="Roboto"/>
        <scheme val="none"/>
      </font>
    </dxf>
    <dxf>
      <font>
        <b/>
        <strike val="0"/>
        <outline val="0"/>
        <shadow val="0"/>
        <u val="none"/>
        <vertAlign val="baseline"/>
        <sz val="10"/>
        <color theme="0"/>
        <name val="Roboto"/>
        <scheme val="none"/>
      </font>
    </dxf>
    <dxf>
      <font>
        <strike val="0"/>
        <outline val="0"/>
        <shadow val="0"/>
        <u val="none"/>
        <vertAlign val="baseline"/>
        <name val="Roboto"/>
        <scheme val="none"/>
      </font>
    </dxf>
    <dxf>
      <font>
        <strike val="0"/>
        <outline val="0"/>
        <shadow val="0"/>
        <u val="none"/>
        <vertAlign val="baseline"/>
        <name val="Roboto"/>
        <scheme val="none"/>
      </font>
    </dxf>
    <dxf>
      <font>
        <strike val="0"/>
        <outline val="0"/>
        <shadow val="0"/>
        <u val="none"/>
        <vertAlign val="baseline"/>
        <name val="Roboto"/>
        <scheme val="none"/>
      </font>
    </dxf>
    <dxf>
      <font>
        <b val="0"/>
        <i val="0"/>
        <strike val="0"/>
        <condense val="0"/>
        <extend val="0"/>
        <outline val="0"/>
        <shadow val="0"/>
        <u val="none"/>
        <vertAlign val="baseline"/>
        <sz val="10"/>
        <color rgb="FF473821"/>
        <name val="Roboto"/>
        <scheme val="none"/>
      </font>
      <alignment horizontal="general" vertical="center" textRotation="0" wrapText="0" indent="0" justifyLastLine="0" shrinkToFit="0" readingOrder="0"/>
    </dxf>
    <dxf>
      <font>
        <strike val="0"/>
        <outline val="0"/>
        <shadow val="0"/>
        <u val="none"/>
        <vertAlign val="baseline"/>
        <name val="Roboto"/>
        <scheme val="none"/>
      </font>
    </dxf>
    <dxf>
      <font>
        <strike val="0"/>
        <outline val="0"/>
        <shadow val="0"/>
        <u val="none"/>
        <vertAlign val="baseline"/>
        <name val="Roboto"/>
        <scheme val="none"/>
      </font>
    </dxf>
    <dxf>
      <font>
        <strike val="0"/>
        <outline val="0"/>
        <shadow val="0"/>
        <u val="none"/>
        <vertAlign val="baseline"/>
        <name val="Roboto"/>
        <scheme val="none"/>
      </font>
    </dxf>
    <dxf>
      <font>
        <strike val="0"/>
        <outline val="0"/>
        <shadow val="0"/>
        <u val="none"/>
        <vertAlign val="baseline"/>
        <name val="Roboto"/>
        <scheme val="none"/>
      </font>
    </dxf>
    <dxf>
      <font>
        <strike val="0"/>
        <outline val="0"/>
        <shadow val="0"/>
        <u val="none"/>
        <vertAlign val="baseline"/>
        <name val="Roboto"/>
        <scheme val="none"/>
      </font>
    </dxf>
    <dxf>
      <font>
        <strike val="0"/>
        <outline val="0"/>
        <shadow val="0"/>
        <u val="none"/>
        <vertAlign val="baseline"/>
        <name val="Roboto"/>
        <scheme val="none"/>
      </font>
    </dxf>
    <dxf>
      <font>
        <strike val="0"/>
        <outline val="0"/>
        <shadow val="0"/>
        <u val="none"/>
        <vertAlign val="baseline"/>
        <name val="Roboto"/>
        <scheme val="none"/>
      </font>
    </dxf>
    <dxf>
      <font>
        <strike val="0"/>
        <outline val="0"/>
        <shadow val="0"/>
        <u val="none"/>
        <vertAlign val="baseline"/>
        <name val="Roboto"/>
        <scheme val="none"/>
      </font>
    </dxf>
    <dxf>
      <font>
        <b/>
        <strike val="0"/>
        <outline val="0"/>
        <shadow val="0"/>
        <u val="none"/>
        <vertAlign val="baseline"/>
        <sz val="10"/>
        <color theme="0"/>
        <name val="Roboto"/>
        <scheme val="none"/>
      </font>
    </dxf>
    <dxf>
      <font>
        <strike val="0"/>
        <outline val="0"/>
        <shadow val="0"/>
        <u val="none"/>
        <vertAlign val="baseline"/>
        <name val="Roboto"/>
        <scheme val="none"/>
      </font>
    </dxf>
    <dxf>
      <font>
        <strike val="0"/>
        <outline val="0"/>
        <shadow val="0"/>
        <u val="none"/>
        <vertAlign val="baseline"/>
        <name val="Roboto"/>
        <scheme val="none"/>
      </font>
    </dxf>
    <dxf>
      <font>
        <strike val="0"/>
        <outline val="0"/>
        <shadow val="0"/>
        <u val="none"/>
        <vertAlign val="baseline"/>
        <name val="Roboto"/>
        <scheme val="none"/>
      </font>
    </dxf>
    <dxf>
      <font>
        <strike val="0"/>
        <outline val="0"/>
        <shadow val="0"/>
        <u val="none"/>
        <vertAlign val="baseline"/>
        <name val="Roboto"/>
        <scheme val="none"/>
      </font>
    </dxf>
    <dxf>
      <font>
        <strike val="0"/>
        <outline val="0"/>
        <shadow val="0"/>
        <u val="none"/>
        <vertAlign val="baseline"/>
        <name val="Roboto"/>
        <scheme val="none"/>
      </font>
    </dxf>
    <dxf>
      <font>
        <b/>
        <strike val="0"/>
        <outline val="0"/>
        <shadow val="0"/>
        <u val="none"/>
        <vertAlign val="baseline"/>
        <sz val="10"/>
        <color theme="0"/>
        <name val="Roboto"/>
        <scheme val="none"/>
      </font>
    </dxf>
    <dxf>
      <font>
        <strike val="0"/>
        <outline val="0"/>
        <shadow val="0"/>
        <u val="none"/>
        <vertAlign val="baseline"/>
        <name val="Roboto"/>
        <scheme val="none"/>
      </font>
    </dxf>
    <dxf>
      <font>
        <strike val="0"/>
        <outline val="0"/>
        <shadow val="0"/>
        <u val="none"/>
        <vertAlign val="baseline"/>
        <name val="Roboto"/>
        <scheme val="none"/>
      </font>
    </dxf>
    <dxf>
      <font>
        <strike val="0"/>
        <outline val="0"/>
        <shadow val="0"/>
        <u val="none"/>
        <vertAlign val="baseline"/>
        <name val="Roboto"/>
        <scheme val="none"/>
      </font>
    </dxf>
    <dxf>
      <font>
        <b val="0"/>
        <i val="0"/>
        <strike val="0"/>
        <condense val="0"/>
        <extend val="0"/>
        <outline val="0"/>
        <shadow val="0"/>
        <u val="none"/>
        <vertAlign val="baseline"/>
        <sz val="10"/>
        <color rgb="FF473821"/>
        <name val="Roboto"/>
        <scheme val="none"/>
      </font>
      <alignment horizontal="general" vertical="center" textRotation="0" wrapText="0" indent="0" justifyLastLine="0" shrinkToFit="0" readingOrder="0"/>
    </dxf>
    <dxf>
      <font>
        <strike val="0"/>
        <outline val="0"/>
        <shadow val="0"/>
        <u val="none"/>
        <vertAlign val="baseline"/>
        <name val="Roboto"/>
        <scheme val="none"/>
      </font>
    </dxf>
    <dxf>
      <font>
        <strike val="0"/>
        <outline val="0"/>
        <shadow val="0"/>
        <u val="none"/>
        <vertAlign val="baseline"/>
        <name val="Roboto"/>
        <scheme val="none"/>
      </font>
    </dxf>
    <dxf>
      <font>
        <strike val="0"/>
        <outline val="0"/>
        <shadow val="0"/>
        <u val="none"/>
        <vertAlign val="baseline"/>
        <name val="Roboto"/>
        <scheme val="none"/>
      </font>
    </dxf>
    <dxf>
      <font>
        <strike val="0"/>
        <outline val="0"/>
        <shadow val="0"/>
        <u val="none"/>
        <vertAlign val="baseline"/>
        <name val="Roboto"/>
        <scheme val="none"/>
      </font>
    </dxf>
    <dxf>
      <font>
        <strike val="0"/>
        <outline val="0"/>
        <shadow val="0"/>
        <u val="none"/>
        <vertAlign val="baseline"/>
        <name val="Roboto"/>
        <scheme val="none"/>
      </font>
    </dxf>
    <dxf>
      <font>
        <strike val="0"/>
        <outline val="0"/>
        <shadow val="0"/>
        <u val="none"/>
        <vertAlign val="baseline"/>
        <name val="Roboto"/>
        <scheme val="none"/>
      </font>
    </dxf>
    <dxf>
      <font>
        <strike val="0"/>
        <outline val="0"/>
        <shadow val="0"/>
        <u val="none"/>
        <vertAlign val="baseline"/>
        <name val="Roboto"/>
        <scheme val="none"/>
      </font>
    </dxf>
    <dxf>
      <font>
        <strike val="0"/>
        <outline val="0"/>
        <shadow val="0"/>
        <u val="none"/>
        <vertAlign val="baseline"/>
        <name val="Roboto"/>
        <scheme val="none"/>
      </font>
    </dxf>
    <dxf>
      <font>
        <b/>
        <strike val="0"/>
        <outline val="0"/>
        <shadow val="0"/>
        <u val="none"/>
        <vertAlign val="baseline"/>
        <sz val="10"/>
        <color theme="0"/>
        <name val="Roboto"/>
        <scheme val="none"/>
      </font>
    </dxf>
    <dxf>
      <font>
        <strike val="0"/>
        <outline val="0"/>
        <shadow val="0"/>
        <u val="none"/>
        <vertAlign val="baseline"/>
        <name val="Roboto"/>
        <scheme val="none"/>
      </font>
    </dxf>
    <dxf>
      <font>
        <strike val="0"/>
        <outline val="0"/>
        <shadow val="0"/>
        <u val="none"/>
        <vertAlign val="baseline"/>
        <name val="Roboto"/>
        <scheme val="none"/>
      </font>
    </dxf>
    <dxf>
      <font>
        <strike val="0"/>
        <outline val="0"/>
        <shadow val="0"/>
        <u val="none"/>
        <vertAlign val="baseline"/>
        <name val="Roboto"/>
        <scheme val="none"/>
      </font>
    </dxf>
    <dxf>
      <font>
        <b val="0"/>
        <i val="0"/>
        <strike val="0"/>
        <condense val="0"/>
        <extend val="0"/>
        <outline val="0"/>
        <shadow val="0"/>
        <u val="none"/>
        <vertAlign val="baseline"/>
        <sz val="10"/>
        <color rgb="FF473821"/>
        <name val="Roboto"/>
        <scheme val="none"/>
      </font>
      <alignment horizontal="general" vertical="center" textRotation="0" wrapText="0" indent="0" justifyLastLine="0" shrinkToFit="0" readingOrder="0"/>
    </dxf>
    <dxf>
      <font>
        <strike val="0"/>
        <outline val="0"/>
        <shadow val="0"/>
        <u val="none"/>
        <vertAlign val="baseline"/>
        <name val="Roboto"/>
        <scheme val="none"/>
      </font>
    </dxf>
    <dxf>
      <font>
        <strike val="0"/>
        <outline val="0"/>
        <shadow val="0"/>
        <u val="none"/>
        <vertAlign val="baseline"/>
        <name val="Roboto"/>
        <scheme val="none"/>
      </font>
    </dxf>
    <dxf>
      <font>
        <strike val="0"/>
        <outline val="0"/>
        <shadow val="0"/>
        <u val="none"/>
        <vertAlign val="baseline"/>
        <name val="Roboto"/>
        <scheme val="none"/>
      </font>
    </dxf>
    <dxf>
      <font>
        <strike val="0"/>
        <outline val="0"/>
        <shadow val="0"/>
        <u val="none"/>
        <vertAlign val="baseline"/>
        <name val="Roboto"/>
        <scheme val="none"/>
      </font>
    </dxf>
    <dxf>
      <font>
        <strike val="0"/>
        <outline val="0"/>
        <shadow val="0"/>
        <u val="none"/>
        <vertAlign val="baseline"/>
        <name val="Roboto"/>
        <scheme val="none"/>
      </font>
    </dxf>
    <dxf>
      <font>
        <strike val="0"/>
        <outline val="0"/>
        <shadow val="0"/>
        <u val="none"/>
        <vertAlign val="baseline"/>
        <name val="Roboto"/>
        <scheme val="none"/>
      </font>
    </dxf>
    <dxf>
      <font>
        <strike val="0"/>
        <outline val="0"/>
        <shadow val="0"/>
        <u val="none"/>
        <vertAlign val="baseline"/>
        <name val="Roboto"/>
        <scheme val="none"/>
      </font>
    </dxf>
    <dxf>
      <font>
        <strike val="0"/>
        <outline val="0"/>
        <shadow val="0"/>
        <u val="none"/>
        <vertAlign val="baseline"/>
        <name val="Roboto"/>
        <scheme val="none"/>
      </font>
    </dxf>
    <dxf>
      <font>
        <b/>
        <strike val="0"/>
        <outline val="0"/>
        <shadow val="0"/>
        <u val="none"/>
        <vertAlign val="baseline"/>
        <sz val="10"/>
        <color theme="0"/>
        <name val="Roboto"/>
        <scheme val="none"/>
      </font>
    </dxf>
    <dxf>
      <font>
        <strike val="0"/>
        <outline val="0"/>
        <shadow val="0"/>
        <u val="none"/>
        <vertAlign val="baseline"/>
        <name val="Roboto"/>
        <scheme val="none"/>
      </font>
    </dxf>
    <dxf>
      <font>
        <strike val="0"/>
        <outline val="0"/>
        <shadow val="0"/>
        <u val="none"/>
        <vertAlign val="baseline"/>
        <name val="Roboto"/>
        <scheme val="none"/>
      </font>
    </dxf>
    <dxf>
      <font>
        <strike val="0"/>
        <outline val="0"/>
        <shadow val="0"/>
        <u val="none"/>
        <vertAlign val="baseline"/>
        <name val="Roboto"/>
        <scheme val="none"/>
      </font>
    </dxf>
    <dxf>
      <font>
        <strike val="0"/>
        <outline val="0"/>
        <shadow val="0"/>
        <u val="none"/>
        <vertAlign val="baseline"/>
        <name val="Roboto"/>
        <scheme val="none"/>
      </font>
    </dxf>
    <dxf>
      <font>
        <strike val="0"/>
        <outline val="0"/>
        <shadow val="0"/>
        <u val="none"/>
        <vertAlign val="baseline"/>
        <name val="Roboto"/>
        <scheme val="none"/>
      </font>
    </dxf>
    <dxf>
      <font>
        <b/>
        <strike val="0"/>
        <outline val="0"/>
        <shadow val="0"/>
        <u val="none"/>
        <vertAlign val="baseline"/>
        <sz val="10"/>
        <color theme="0"/>
        <name val="Roboto"/>
        <scheme val="none"/>
      </font>
    </dxf>
    <dxf>
      <font>
        <strike val="0"/>
        <outline val="0"/>
        <shadow val="0"/>
        <u val="none"/>
        <vertAlign val="baseline"/>
        <name val="Roboto"/>
        <scheme val="none"/>
      </font>
    </dxf>
    <dxf>
      <font>
        <strike val="0"/>
        <outline val="0"/>
        <shadow val="0"/>
        <u val="none"/>
        <vertAlign val="baseline"/>
        <name val="Roboto"/>
        <scheme val="none"/>
      </font>
    </dxf>
    <dxf>
      <font>
        <strike val="0"/>
        <outline val="0"/>
        <shadow val="0"/>
        <u val="none"/>
        <vertAlign val="baseline"/>
        <name val="Roboto"/>
        <scheme val="none"/>
      </font>
    </dxf>
    <dxf>
      <font>
        <b val="0"/>
        <i val="0"/>
        <strike val="0"/>
        <condense val="0"/>
        <extend val="0"/>
        <outline val="0"/>
        <shadow val="0"/>
        <u val="none"/>
        <vertAlign val="baseline"/>
        <sz val="10"/>
        <color rgb="FF473821"/>
        <name val="Roboto"/>
        <scheme val="none"/>
      </font>
      <alignment horizontal="general" vertical="center" textRotation="0" wrapText="0" indent="0" justifyLastLine="0" shrinkToFit="0" readingOrder="0"/>
    </dxf>
    <dxf>
      <font>
        <strike val="0"/>
        <outline val="0"/>
        <shadow val="0"/>
        <u val="none"/>
        <vertAlign val="baseline"/>
        <name val="Roboto"/>
        <scheme val="none"/>
      </font>
    </dxf>
    <dxf>
      <font>
        <strike val="0"/>
        <outline val="0"/>
        <shadow val="0"/>
        <u val="none"/>
        <vertAlign val="baseline"/>
        <name val="Roboto"/>
        <scheme val="none"/>
      </font>
    </dxf>
    <dxf>
      <font>
        <strike val="0"/>
        <outline val="0"/>
        <shadow val="0"/>
        <u val="none"/>
        <vertAlign val="baseline"/>
        <name val="Roboto"/>
        <scheme val="none"/>
      </font>
    </dxf>
    <dxf>
      <font>
        <strike val="0"/>
        <outline val="0"/>
        <shadow val="0"/>
        <u val="none"/>
        <vertAlign val="baseline"/>
        <name val="Roboto"/>
        <scheme val="none"/>
      </font>
    </dxf>
    <dxf>
      <font>
        <strike val="0"/>
        <outline val="0"/>
        <shadow val="0"/>
        <u val="none"/>
        <vertAlign val="baseline"/>
        <name val="Roboto"/>
        <scheme val="none"/>
      </font>
    </dxf>
    <dxf>
      <font>
        <strike val="0"/>
        <outline val="0"/>
        <shadow val="0"/>
        <u val="none"/>
        <vertAlign val="baseline"/>
        <name val="Roboto"/>
        <scheme val="none"/>
      </font>
    </dxf>
    <dxf>
      <font>
        <strike val="0"/>
        <outline val="0"/>
        <shadow val="0"/>
        <u val="none"/>
        <vertAlign val="baseline"/>
        <name val="Roboto"/>
        <scheme val="none"/>
      </font>
    </dxf>
    <dxf>
      <font>
        <strike val="0"/>
        <outline val="0"/>
        <shadow val="0"/>
        <u val="none"/>
        <vertAlign val="baseline"/>
        <name val="Roboto"/>
        <scheme val="none"/>
      </font>
    </dxf>
    <dxf>
      <font>
        <b/>
        <strike val="0"/>
        <outline val="0"/>
        <shadow val="0"/>
        <u val="none"/>
        <vertAlign val="baseline"/>
        <sz val="10"/>
        <color theme="0"/>
        <name val="Roboto"/>
        <scheme val="none"/>
      </font>
    </dxf>
    <dxf>
      <font>
        <strike val="0"/>
        <outline val="0"/>
        <shadow val="0"/>
        <u val="none"/>
        <vertAlign val="baseline"/>
        <name val="Roboto"/>
        <scheme val="none"/>
      </font>
    </dxf>
    <dxf>
      <font>
        <strike val="0"/>
        <outline val="0"/>
        <shadow val="0"/>
        <u val="none"/>
        <vertAlign val="baseline"/>
        <name val="Roboto"/>
        <scheme val="none"/>
      </font>
    </dxf>
    <dxf>
      <font>
        <strike val="0"/>
        <outline val="0"/>
        <shadow val="0"/>
        <u val="none"/>
        <vertAlign val="baseline"/>
        <name val="Roboto"/>
        <scheme val="none"/>
      </font>
    </dxf>
    <dxf>
      <font>
        <b val="0"/>
        <i val="0"/>
        <strike val="0"/>
        <condense val="0"/>
        <extend val="0"/>
        <outline val="0"/>
        <shadow val="0"/>
        <u val="none"/>
        <vertAlign val="baseline"/>
        <sz val="10"/>
        <color rgb="FF473821"/>
        <name val="Roboto"/>
        <scheme val="none"/>
      </font>
      <alignment horizontal="general" vertical="center" textRotation="0" wrapText="0" indent="0" justifyLastLine="0" shrinkToFit="0" readingOrder="0"/>
    </dxf>
    <dxf>
      <font>
        <strike val="0"/>
        <outline val="0"/>
        <shadow val="0"/>
        <u val="none"/>
        <vertAlign val="baseline"/>
        <name val="Roboto"/>
        <scheme val="none"/>
      </font>
    </dxf>
    <dxf>
      <font>
        <strike val="0"/>
        <outline val="0"/>
        <shadow val="0"/>
        <u val="none"/>
        <vertAlign val="baseline"/>
        <name val="Roboto"/>
        <scheme val="none"/>
      </font>
    </dxf>
    <dxf>
      <font>
        <strike val="0"/>
        <outline val="0"/>
        <shadow val="0"/>
        <u val="none"/>
        <vertAlign val="baseline"/>
        <name val="Roboto"/>
        <scheme val="none"/>
      </font>
    </dxf>
    <dxf>
      <font>
        <strike val="0"/>
        <outline val="0"/>
        <shadow val="0"/>
        <u val="none"/>
        <vertAlign val="baseline"/>
        <name val="Roboto"/>
        <scheme val="none"/>
      </font>
    </dxf>
    <dxf>
      <font>
        <strike val="0"/>
        <outline val="0"/>
        <shadow val="0"/>
        <u val="none"/>
        <vertAlign val="baseline"/>
        <name val="Roboto"/>
        <scheme val="none"/>
      </font>
    </dxf>
    <dxf>
      <font>
        <strike val="0"/>
        <outline val="0"/>
        <shadow val="0"/>
        <u val="none"/>
        <vertAlign val="baseline"/>
        <name val="Roboto"/>
        <scheme val="none"/>
      </font>
    </dxf>
    <dxf>
      <font>
        <strike val="0"/>
        <outline val="0"/>
        <shadow val="0"/>
        <u val="none"/>
        <vertAlign val="baseline"/>
        <name val="Roboto"/>
        <scheme val="none"/>
      </font>
    </dxf>
    <dxf>
      <font>
        <strike val="0"/>
        <outline val="0"/>
        <shadow val="0"/>
        <u val="none"/>
        <vertAlign val="baseline"/>
        <name val="Roboto"/>
        <scheme val="none"/>
      </font>
    </dxf>
    <dxf>
      <font>
        <b/>
        <strike val="0"/>
        <outline val="0"/>
        <shadow val="0"/>
        <u val="none"/>
        <vertAlign val="baseline"/>
        <sz val="10"/>
        <color theme="0"/>
        <name val="Roboto"/>
        <scheme val="none"/>
      </font>
    </dxf>
    <dxf>
      <font>
        <strike val="0"/>
        <outline val="0"/>
        <shadow val="0"/>
        <u val="none"/>
        <vertAlign val="baseline"/>
        <name val="Roboto"/>
        <scheme val="none"/>
      </font>
    </dxf>
    <dxf>
      <font>
        <strike val="0"/>
        <outline val="0"/>
        <shadow val="0"/>
        <u val="none"/>
        <vertAlign val="baseline"/>
        <name val="Roboto"/>
        <scheme val="none"/>
      </font>
    </dxf>
    <dxf>
      <font>
        <strike val="0"/>
        <outline val="0"/>
        <shadow val="0"/>
        <u val="none"/>
        <vertAlign val="baseline"/>
        <name val="Roboto"/>
        <scheme val="none"/>
      </font>
    </dxf>
    <dxf>
      <font>
        <strike val="0"/>
        <outline val="0"/>
        <shadow val="0"/>
        <u val="none"/>
        <vertAlign val="baseline"/>
        <name val="Roboto"/>
        <scheme val="none"/>
      </font>
    </dxf>
    <dxf>
      <font>
        <strike val="0"/>
        <outline val="0"/>
        <shadow val="0"/>
        <u val="none"/>
        <vertAlign val="baseline"/>
        <name val="Roboto"/>
        <scheme val="none"/>
      </font>
    </dxf>
    <dxf>
      <font>
        <b/>
        <strike val="0"/>
        <outline val="0"/>
        <shadow val="0"/>
        <u val="none"/>
        <vertAlign val="baseline"/>
        <sz val="10"/>
        <color theme="0"/>
        <name val="Roboto"/>
        <scheme val="none"/>
      </font>
    </dxf>
    <dxf>
      <font>
        <b val="0"/>
        <i val="0"/>
        <strike val="0"/>
        <condense val="0"/>
        <extend val="0"/>
        <outline val="0"/>
        <shadow val="0"/>
        <u val="none"/>
        <vertAlign val="baseline"/>
        <sz val="10"/>
        <color theme="1"/>
        <name val="Roboto"/>
        <scheme val="none"/>
      </font>
      <alignment horizontal="general" vertical="center" textRotation="0" wrapText="0" indent="0" justifyLastLine="0" shrinkToFit="0" readingOrder="0"/>
    </dxf>
    <dxf>
      <font>
        <strike val="0"/>
        <outline val="0"/>
        <shadow val="0"/>
        <u val="none"/>
        <vertAlign val="baseline"/>
        <sz val="10"/>
        <name val="Roboto"/>
        <scheme val="none"/>
      </font>
    </dxf>
    <dxf>
      <font>
        <b/>
        <i val="0"/>
        <strike val="0"/>
        <condense val="0"/>
        <extend val="0"/>
        <outline val="0"/>
        <shadow val="0"/>
        <u val="none"/>
        <vertAlign val="baseline"/>
        <sz val="10"/>
        <color theme="1"/>
        <name val="Roboto"/>
        <scheme val="none"/>
      </font>
      <alignment horizontal="general" vertical="center" textRotation="0" wrapText="0" indent="0" justifyLastLine="0" shrinkToFit="0" readingOrder="0"/>
    </dxf>
    <dxf>
      <font>
        <strike val="0"/>
        <outline val="0"/>
        <shadow val="0"/>
        <u val="none"/>
        <vertAlign val="baseline"/>
        <sz val="10"/>
        <name val="Roboto"/>
        <scheme val="none"/>
      </font>
    </dxf>
    <dxf>
      <font>
        <b/>
        <i val="0"/>
        <strike val="0"/>
        <condense val="0"/>
        <extend val="0"/>
        <outline val="0"/>
        <shadow val="0"/>
        <u val="none"/>
        <vertAlign val="baseline"/>
        <sz val="10"/>
        <color theme="1"/>
        <name val="Roboto"/>
        <scheme val="none"/>
      </font>
      <alignment horizontal="general" vertical="center" textRotation="0" wrapText="0" indent="0" justifyLastLine="0" shrinkToFit="0" readingOrder="0"/>
    </dxf>
    <dxf>
      <font>
        <strike val="0"/>
        <outline val="0"/>
        <shadow val="0"/>
        <u val="none"/>
        <vertAlign val="baseline"/>
        <sz val="10"/>
        <name val="Roboto"/>
        <scheme val="none"/>
      </font>
    </dxf>
    <dxf>
      <font>
        <b val="0"/>
        <i val="0"/>
        <strike val="0"/>
        <condense val="0"/>
        <extend val="0"/>
        <outline val="0"/>
        <shadow val="0"/>
        <u val="none"/>
        <vertAlign val="baseline"/>
        <sz val="10"/>
        <color theme="1"/>
        <name val="Roboto"/>
        <scheme val="none"/>
      </font>
      <alignment horizontal="general" vertical="center" textRotation="0" wrapText="0" indent="0" justifyLastLine="0" shrinkToFit="0" readingOrder="0"/>
    </dxf>
    <dxf>
      <font>
        <strike val="0"/>
        <outline val="0"/>
        <shadow val="0"/>
        <u val="none"/>
        <vertAlign val="baseline"/>
        <sz val="10"/>
        <name val="Roboto"/>
        <scheme val="none"/>
      </font>
    </dxf>
    <dxf>
      <font>
        <strike val="0"/>
        <outline val="0"/>
        <shadow val="0"/>
        <u val="none"/>
        <vertAlign val="baseline"/>
        <sz val="10"/>
        <name val="Roboto"/>
        <scheme val="none"/>
      </font>
    </dxf>
    <dxf>
      <font>
        <strike val="0"/>
        <outline val="0"/>
        <shadow val="0"/>
        <u val="none"/>
        <vertAlign val="baseline"/>
        <sz val="10"/>
        <name val="Roboto"/>
        <scheme val="none"/>
      </font>
    </dxf>
    <dxf>
      <font>
        <b/>
        <strike val="0"/>
        <outline val="0"/>
        <shadow val="0"/>
        <u val="none"/>
        <vertAlign val="baseline"/>
        <sz val="10"/>
        <color theme="0"/>
        <name val="Roboto"/>
        <scheme val="none"/>
      </font>
    </dxf>
    <dxf>
      <font>
        <strike val="0"/>
        <outline val="0"/>
        <shadow val="0"/>
        <u val="none"/>
        <vertAlign val="baseline"/>
        <name val="Roboto"/>
        <scheme val="none"/>
      </font>
    </dxf>
    <dxf>
      <font>
        <strike val="0"/>
        <outline val="0"/>
        <shadow val="0"/>
        <u val="none"/>
        <vertAlign val="baseline"/>
        <name val="Roboto"/>
        <scheme val="none"/>
      </font>
    </dxf>
    <dxf>
      <font>
        <strike val="0"/>
        <outline val="0"/>
        <shadow val="0"/>
        <u val="none"/>
        <vertAlign val="baseline"/>
        <name val="Roboto"/>
        <scheme val="none"/>
      </font>
    </dxf>
    <dxf>
      <font>
        <b val="0"/>
        <i val="0"/>
        <strike val="0"/>
        <condense val="0"/>
        <extend val="0"/>
        <outline val="0"/>
        <shadow val="0"/>
        <u val="none"/>
        <vertAlign val="baseline"/>
        <sz val="10"/>
        <color rgb="FF473821"/>
        <name val="Roboto"/>
        <scheme val="none"/>
      </font>
      <alignment horizontal="general" vertical="center" textRotation="0" wrapText="0" indent="0" justifyLastLine="0" shrinkToFit="0" readingOrder="0"/>
    </dxf>
    <dxf>
      <font>
        <strike val="0"/>
        <outline val="0"/>
        <shadow val="0"/>
        <u val="none"/>
        <vertAlign val="baseline"/>
        <name val="Roboto"/>
        <scheme val="none"/>
      </font>
    </dxf>
    <dxf>
      <font>
        <strike val="0"/>
        <outline val="0"/>
        <shadow val="0"/>
        <u val="none"/>
        <vertAlign val="baseline"/>
        <name val="Roboto"/>
        <scheme val="none"/>
      </font>
    </dxf>
    <dxf>
      <font>
        <strike val="0"/>
        <outline val="0"/>
        <shadow val="0"/>
        <u val="none"/>
        <vertAlign val="baseline"/>
        <name val="Roboto"/>
        <scheme val="none"/>
      </font>
    </dxf>
    <dxf>
      <font>
        <strike val="0"/>
        <outline val="0"/>
        <shadow val="0"/>
        <u val="none"/>
        <vertAlign val="baseline"/>
        <name val="Roboto"/>
        <scheme val="none"/>
      </font>
    </dxf>
    <dxf>
      <font>
        <strike val="0"/>
        <outline val="0"/>
        <shadow val="0"/>
        <u val="none"/>
        <vertAlign val="baseline"/>
        <name val="Roboto"/>
        <scheme val="none"/>
      </font>
    </dxf>
    <dxf>
      <font>
        <strike val="0"/>
        <outline val="0"/>
        <shadow val="0"/>
        <u val="none"/>
        <vertAlign val="baseline"/>
        <name val="Roboto"/>
        <scheme val="none"/>
      </font>
    </dxf>
    <dxf>
      <font>
        <strike val="0"/>
        <outline val="0"/>
        <shadow val="0"/>
        <u val="none"/>
        <vertAlign val="baseline"/>
        <name val="Roboto"/>
        <scheme val="none"/>
      </font>
    </dxf>
    <dxf>
      <font>
        <strike val="0"/>
        <outline val="0"/>
        <shadow val="0"/>
        <u val="none"/>
        <vertAlign val="baseline"/>
        <name val="Roboto"/>
        <scheme val="none"/>
      </font>
    </dxf>
    <dxf>
      <font>
        <b/>
        <strike val="0"/>
        <outline val="0"/>
        <shadow val="0"/>
        <u val="none"/>
        <vertAlign val="baseline"/>
        <sz val="10"/>
        <color theme="0"/>
        <name val="Roboto"/>
        <scheme val="none"/>
      </font>
    </dxf>
    <dxf>
      <font>
        <strike val="0"/>
        <outline val="0"/>
        <shadow val="0"/>
        <u val="none"/>
        <vertAlign val="baseline"/>
        <name val="Roboto"/>
        <scheme val="none"/>
      </font>
    </dxf>
    <dxf>
      <font>
        <strike val="0"/>
        <outline val="0"/>
        <shadow val="0"/>
        <u val="none"/>
        <vertAlign val="baseline"/>
        <name val="Roboto"/>
        <scheme val="none"/>
      </font>
    </dxf>
    <dxf>
      <font>
        <strike val="0"/>
        <outline val="0"/>
        <shadow val="0"/>
        <u val="none"/>
        <vertAlign val="baseline"/>
        <name val="Roboto"/>
        <scheme val="none"/>
      </font>
    </dxf>
    <dxf>
      <font>
        <b val="0"/>
        <i val="0"/>
        <strike val="0"/>
        <condense val="0"/>
        <extend val="0"/>
        <outline val="0"/>
        <shadow val="0"/>
        <u val="none"/>
        <vertAlign val="baseline"/>
        <sz val="10"/>
        <color rgb="FF473821"/>
        <name val="Roboto"/>
        <scheme val="none"/>
      </font>
      <alignment horizontal="general" vertical="center" textRotation="0" wrapText="0" indent="0" justifyLastLine="0" shrinkToFit="0" readingOrder="0"/>
    </dxf>
    <dxf>
      <font>
        <strike val="0"/>
        <outline val="0"/>
        <shadow val="0"/>
        <u val="none"/>
        <vertAlign val="baseline"/>
        <name val="Roboto"/>
        <scheme val="none"/>
      </font>
    </dxf>
    <dxf>
      <font>
        <strike val="0"/>
        <outline val="0"/>
        <shadow val="0"/>
        <u val="none"/>
        <vertAlign val="baseline"/>
        <name val="Roboto"/>
        <scheme val="none"/>
      </font>
    </dxf>
    <dxf>
      <font>
        <strike val="0"/>
        <outline val="0"/>
        <shadow val="0"/>
        <u val="none"/>
        <vertAlign val="baseline"/>
        <name val="Roboto"/>
        <scheme val="none"/>
      </font>
    </dxf>
    <dxf>
      <font>
        <strike val="0"/>
        <outline val="0"/>
        <shadow val="0"/>
        <u val="none"/>
        <vertAlign val="baseline"/>
        <name val="Roboto"/>
        <scheme val="none"/>
      </font>
    </dxf>
    <dxf>
      <font>
        <strike val="0"/>
        <outline val="0"/>
        <shadow val="0"/>
        <u val="none"/>
        <vertAlign val="baseline"/>
        <name val="Roboto"/>
        <scheme val="none"/>
      </font>
    </dxf>
    <dxf>
      <font>
        <strike val="0"/>
        <outline val="0"/>
        <shadow val="0"/>
        <u val="none"/>
        <vertAlign val="baseline"/>
        <name val="Roboto"/>
        <scheme val="none"/>
      </font>
    </dxf>
    <dxf>
      <font>
        <strike val="0"/>
        <outline val="0"/>
        <shadow val="0"/>
        <u val="none"/>
        <vertAlign val="baseline"/>
        <name val="Roboto"/>
        <scheme val="none"/>
      </font>
    </dxf>
    <dxf>
      <font>
        <strike val="0"/>
        <outline val="0"/>
        <shadow val="0"/>
        <u val="none"/>
        <vertAlign val="baseline"/>
        <name val="Roboto"/>
        <scheme val="none"/>
      </font>
    </dxf>
    <dxf>
      <font>
        <b/>
        <strike val="0"/>
        <outline val="0"/>
        <shadow val="0"/>
        <u val="none"/>
        <vertAlign val="baseline"/>
        <sz val="10"/>
        <color theme="0"/>
        <name val="Roboto"/>
        <scheme val="none"/>
      </font>
    </dxf>
    <dxf>
      <font>
        <strike val="0"/>
        <outline val="0"/>
        <shadow val="0"/>
        <u val="none"/>
        <vertAlign val="baseline"/>
        <name val="Roboto"/>
        <scheme val="none"/>
      </font>
    </dxf>
    <dxf>
      <font>
        <strike val="0"/>
        <outline val="0"/>
        <shadow val="0"/>
        <u val="none"/>
        <vertAlign val="baseline"/>
        <name val="Roboto"/>
        <scheme val="none"/>
      </font>
    </dxf>
    <dxf>
      <font>
        <strike val="0"/>
        <outline val="0"/>
        <shadow val="0"/>
        <u val="none"/>
        <vertAlign val="baseline"/>
        <name val="Roboto"/>
        <scheme val="none"/>
      </font>
    </dxf>
    <dxf>
      <font>
        <strike val="0"/>
        <outline val="0"/>
        <shadow val="0"/>
        <u val="none"/>
        <vertAlign val="baseline"/>
        <name val="Roboto"/>
        <scheme val="none"/>
      </font>
    </dxf>
    <dxf>
      <font>
        <strike val="0"/>
        <outline val="0"/>
        <shadow val="0"/>
        <u val="none"/>
        <vertAlign val="baseline"/>
        <name val="Roboto"/>
        <scheme val="none"/>
      </font>
    </dxf>
    <dxf>
      <font>
        <b/>
        <strike val="0"/>
        <outline val="0"/>
        <shadow val="0"/>
        <u val="none"/>
        <vertAlign val="baseline"/>
        <sz val="10"/>
        <color theme="0"/>
        <name val="Roboto"/>
        <scheme val="none"/>
      </font>
    </dxf>
    <dxf>
      <fill>
        <patternFill patternType="solid">
          <fgColor rgb="FFF6F8F9"/>
          <bgColor rgb="FFF6F8F9"/>
        </patternFill>
      </fill>
    </dxf>
    <dxf>
      <fill>
        <patternFill patternType="solid">
          <fgColor rgb="FFFFFFFF"/>
          <bgColor rgb="FFFFFFFF"/>
        </patternFill>
      </fill>
    </dxf>
    <dxf>
      <fill>
        <patternFill patternType="solid">
          <fgColor rgb="FFD4D7F0"/>
          <bgColor rgb="FFD4D7F0"/>
        </patternFill>
      </fill>
    </dxf>
    <dxf>
      <fill>
        <patternFill patternType="solid">
          <fgColor rgb="FF535FC1"/>
          <bgColor rgb="FF535FC1"/>
        </patternFill>
      </fill>
    </dxf>
    <dxf>
      <border>
        <left style="thin">
          <color rgb="FF535FC1"/>
        </left>
        <right style="thin">
          <color rgb="FF535FC1"/>
        </right>
        <top style="thin">
          <color rgb="FF535FC1"/>
        </top>
        <bottom style="thin">
          <color rgb="FF535FC1"/>
        </bottom>
      </border>
    </dxf>
    <dxf>
      <fill>
        <patternFill patternType="solid">
          <fgColor rgb="FFF6F8F9"/>
          <bgColor rgb="FFF6F8F9"/>
        </patternFill>
      </fill>
    </dxf>
    <dxf>
      <fill>
        <patternFill patternType="solid">
          <fgColor rgb="FFFFFFFF"/>
          <bgColor rgb="FFFFFFFF"/>
        </patternFill>
      </fill>
    </dxf>
    <dxf>
      <fill>
        <patternFill patternType="solid">
          <fgColor rgb="FFD4D7F0"/>
          <bgColor rgb="FFD4D7F0"/>
        </patternFill>
      </fill>
    </dxf>
    <dxf>
      <fill>
        <patternFill patternType="solid">
          <fgColor rgb="FF535FC1"/>
          <bgColor rgb="FF535FC1"/>
        </patternFill>
      </fill>
    </dxf>
    <dxf>
      <border>
        <left style="thin">
          <color rgb="FF535FC1"/>
        </left>
        <right style="thin">
          <color rgb="FF535FC1"/>
        </right>
        <top style="thin">
          <color rgb="FF535FC1"/>
        </top>
        <bottom style="thin">
          <color rgb="FF535FC1"/>
        </bottom>
      </border>
    </dxf>
    <dxf>
      <fill>
        <patternFill patternType="solid">
          <fgColor rgb="FFF6F8F9"/>
          <bgColor rgb="FFF6F8F9"/>
        </patternFill>
      </fill>
    </dxf>
    <dxf>
      <fill>
        <patternFill patternType="solid">
          <fgColor rgb="FFFFFFFF"/>
          <bgColor rgb="FFFFFFFF"/>
        </patternFill>
      </fill>
    </dxf>
    <dxf>
      <fill>
        <patternFill patternType="solid">
          <fgColor rgb="FF626E7A"/>
          <bgColor rgb="FF626E7A"/>
        </patternFill>
      </fill>
    </dxf>
    <dxf>
      <border>
        <left style="thin">
          <color rgb="FF535FC1"/>
        </left>
        <right style="thin">
          <color rgb="FF535FC1"/>
        </right>
        <top style="thin">
          <color rgb="FF535FC1"/>
        </top>
        <bottom style="thin">
          <color rgb="FF535FC1"/>
        </bottom>
      </border>
    </dxf>
    <dxf>
      <fill>
        <patternFill patternType="solid">
          <fgColor rgb="FFF6F8F9"/>
          <bgColor rgb="FFF6F8F9"/>
        </patternFill>
      </fill>
    </dxf>
    <dxf>
      <fill>
        <patternFill patternType="solid">
          <fgColor rgb="FFFFFFFF"/>
          <bgColor rgb="FFFFFFFF"/>
        </patternFill>
      </fill>
    </dxf>
    <dxf>
      <fill>
        <patternFill patternType="solid">
          <fgColor rgb="FFD4D7F0"/>
          <bgColor rgb="FFD4D7F0"/>
        </patternFill>
      </fill>
    </dxf>
    <dxf>
      <fill>
        <patternFill patternType="solid">
          <fgColor rgb="FF535FC1"/>
          <bgColor rgb="FF535FC1"/>
        </patternFill>
      </fill>
    </dxf>
    <dxf>
      <border>
        <left style="thin">
          <color rgb="FF535FC1"/>
        </left>
        <right style="thin">
          <color rgb="FF535FC1"/>
        </right>
        <top style="thin">
          <color rgb="FF535FC1"/>
        </top>
        <bottom style="thin">
          <color rgb="FF535FC1"/>
        </bottom>
      </border>
    </dxf>
    <dxf>
      <fill>
        <patternFill patternType="solid">
          <fgColor rgb="FFF6F8F9"/>
          <bgColor rgb="FFF6F8F9"/>
        </patternFill>
      </fill>
    </dxf>
    <dxf>
      <fill>
        <patternFill patternType="solid">
          <fgColor rgb="FFFFFFFF"/>
          <bgColor rgb="FFFFFFFF"/>
        </patternFill>
      </fill>
    </dxf>
    <dxf>
      <fill>
        <patternFill patternType="solid">
          <fgColor rgb="FFD4D7F0"/>
          <bgColor rgb="FFD4D7F0"/>
        </patternFill>
      </fill>
    </dxf>
    <dxf>
      <fill>
        <patternFill patternType="solid">
          <fgColor rgb="FF535FC1"/>
          <bgColor rgb="FF535FC1"/>
        </patternFill>
      </fill>
    </dxf>
    <dxf>
      <border>
        <left style="thin">
          <color rgb="FF535FC1"/>
        </left>
        <right style="thin">
          <color rgb="FF535FC1"/>
        </right>
        <top style="thin">
          <color rgb="FF535FC1"/>
        </top>
        <bottom style="thin">
          <color rgb="FF535FC1"/>
        </bottom>
      </border>
    </dxf>
    <dxf>
      <fill>
        <patternFill patternType="solid">
          <fgColor rgb="FFF6F8F9"/>
          <bgColor rgb="FFF6F8F9"/>
        </patternFill>
      </fill>
    </dxf>
    <dxf>
      <fill>
        <patternFill patternType="solid">
          <fgColor rgb="FFFFFFFF"/>
          <bgColor rgb="FFFFFFFF"/>
        </patternFill>
      </fill>
    </dxf>
    <dxf>
      <fill>
        <patternFill patternType="solid">
          <fgColor rgb="FF626E7A"/>
          <bgColor rgb="FF626E7A"/>
        </patternFill>
      </fill>
    </dxf>
    <dxf>
      <border>
        <left style="thin">
          <color rgb="FF535FC1"/>
        </left>
        <right style="thin">
          <color rgb="FF535FC1"/>
        </right>
        <top style="thin">
          <color rgb="FF535FC1"/>
        </top>
        <bottom style="thin">
          <color rgb="FF535FC1"/>
        </bottom>
      </border>
    </dxf>
    <dxf>
      <fill>
        <patternFill patternType="solid">
          <fgColor rgb="FFF6F8F9"/>
          <bgColor rgb="FFF6F8F9"/>
        </patternFill>
      </fill>
    </dxf>
    <dxf>
      <fill>
        <patternFill patternType="solid">
          <fgColor rgb="FFFFFFFF"/>
          <bgColor rgb="FFFFFFFF"/>
        </patternFill>
      </fill>
    </dxf>
    <dxf>
      <fill>
        <patternFill patternType="solid">
          <fgColor rgb="FFD4D7F0"/>
          <bgColor rgb="FFD4D7F0"/>
        </patternFill>
      </fill>
    </dxf>
    <dxf>
      <fill>
        <patternFill patternType="solid">
          <fgColor rgb="FF535FC1"/>
          <bgColor rgb="FF535FC1"/>
        </patternFill>
      </fill>
    </dxf>
    <dxf>
      <border>
        <left style="thin">
          <color rgb="FF535FC1"/>
        </left>
        <right style="thin">
          <color rgb="FF535FC1"/>
        </right>
        <top style="thin">
          <color rgb="FF535FC1"/>
        </top>
        <bottom style="thin">
          <color rgb="FF535FC1"/>
        </bottom>
      </border>
    </dxf>
    <dxf>
      <fill>
        <patternFill patternType="solid">
          <fgColor rgb="FFF6F8F9"/>
          <bgColor rgb="FFF6F8F9"/>
        </patternFill>
      </fill>
    </dxf>
    <dxf>
      <fill>
        <patternFill patternType="solid">
          <fgColor rgb="FFFFFFFF"/>
          <bgColor rgb="FFFFFFFF"/>
        </patternFill>
      </fill>
    </dxf>
    <dxf>
      <fill>
        <patternFill patternType="solid">
          <fgColor rgb="FFD4D7F0"/>
          <bgColor rgb="FFD4D7F0"/>
        </patternFill>
      </fill>
    </dxf>
    <dxf>
      <fill>
        <patternFill patternType="solid">
          <fgColor rgb="FF535FC1"/>
          <bgColor rgb="FF535FC1"/>
        </patternFill>
      </fill>
    </dxf>
    <dxf>
      <border>
        <left style="thin">
          <color rgb="FF535FC1"/>
        </left>
        <right style="thin">
          <color rgb="FF535FC1"/>
        </right>
        <top style="thin">
          <color rgb="FF535FC1"/>
        </top>
        <bottom style="thin">
          <color rgb="FF535FC1"/>
        </bottom>
      </border>
    </dxf>
    <dxf>
      <fill>
        <patternFill patternType="solid">
          <fgColor rgb="FFF6F8F9"/>
          <bgColor rgb="FFF6F8F9"/>
        </patternFill>
      </fill>
    </dxf>
    <dxf>
      <fill>
        <patternFill patternType="solid">
          <fgColor rgb="FFFFFFFF"/>
          <bgColor rgb="FFFFFFFF"/>
        </patternFill>
      </fill>
    </dxf>
    <dxf>
      <fill>
        <patternFill patternType="solid">
          <fgColor rgb="FF626E7A"/>
          <bgColor rgb="FF626E7A"/>
        </patternFill>
      </fill>
    </dxf>
    <dxf>
      <border>
        <left style="thin">
          <color rgb="FF535FC1"/>
        </left>
        <right style="thin">
          <color rgb="FF535FC1"/>
        </right>
        <top style="thin">
          <color rgb="FF535FC1"/>
        </top>
        <bottom style="thin">
          <color rgb="FF535FC1"/>
        </bottom>
      </border>
    </dxf>
    <dxf>
      <fill>
        <patternFill patternType="solid">
          <fgColor rgb="FFF6F8F9"/>
          <bgColor rgb="FFF6F8F9"/>
        </patternFill>
      </fill>
    </dxf>
    <dxf>
      <fill>
        <patternFill patternType="solid">
          <fgColor rgb="FFFFFFFF"/>
          <bgColor rgb="FFFFFFFF"/>
        </patternFill>
      </fill>
    </dxf>
    <dxf>
      <fill>
        <patternFill patternType="solid">
          <fgColor rgb="FFD4D7F0"/>
          <bgColor rgb="FFD4D7F0"/>
        </patternFill>
      </fill>
    </dxf>
    <dxf>
      <fill>
        <patternFill patternType="solid">
          <fgColor rgb="FF535FC1"/>
          <bgColor rgb="FF535FC1"/>
        </patternFill>
      </fill>
    </dxf>
    <dxf>
      <border>
        <left style="thin">
          <color rgb="FF535FC1"/>
        </left>
        <right style="thin">
          <color rgb="FF535FC1"/>
        </right>
        <top style="thin">
          <color rgb="FF535FC1"/>
        </top>
        <bottom style="thin">
          <color rgb="FF535FC1"/>
        </bottom>
      </border>
    </dxf>
    <dxf>
      <fill>
        <patternFill patternType="solid">
          <fgColor rgb="FFF6F8F9"/>
          <bgColor rgb="FFF6F8F9"/>
        </patternFill>
      </fill>
    </dxf>
    <dxf>
      <fill>
        <patternFill patternType="solid">
          <fgColor rgb="FFFFFFFF"/>
          <bgColor rgb="FFFFFFFF"/>
        </patternFill>
      </fill>
    </dxf>
    <dxf>
      <fill>
        <patternFill patternType="solid">
          <fgColor rgb="FFD4D7F0"/>
          <bgColor rgb="FFD4D7F0"/>
        </patternFill>
      </fill>
    </dxf>
    <dxf>
      <fill>
        <patternFill patternType="solid">
          <fgColor rgb="FF535FC1"/>
          <bgColor rgb="FF535FC1"/>
        </patternFill>
      </fill>
    </dxf>
    <dxf>
      <border>
        <left style="thin">
          <color rgb="FF535FC1"/>
        </left>
        <right style="thin">
          <color rgb="FF535FC1"/>
        </right>
        <top style="thin">
          <color rgb="FF535FC1"/>
        </top>
        <bottom style="thin">
          <color rgb="FF535FC1"/>
        </bottom>
      </border>
    </dxf>
    <dxf>
      <fill>
        <patternFill patternType="solid">
          <fgColor rgb="FFF6F8F9"/>
          <bgColor rgb="FFF6F8F9"/>
        </patternFill>
      </fill>
    </dxf>
    <dxf>
      <fill>
        <patternFill patternType="solid">
          <fgColor rgb="FFFFFFFF"/>
          <bgColor rgb="FFFFFFFF"/>
        </patternFill>
      </fill>
    </dxf>
    <dxf>
      <fill>
        <patternFill patternType="solid">
          <fgColor rgb="FF626E7A"/>
          <bgColor rgb="FF626E7A"/>
        </patternFill>
      </fill>
    </dxf>
    <dxf>
      <border>
        <left style="thin">
          <color rgb="FF535FC1"/>
        </left>
        <right style="thin">
          <color rgb="FF535FC1"/>
        </right>
        <top style="thin">
          <color rgb="FF535FC1"/>
        </top>
        <bottom style="thin">
          <color rgb="FF535FC1"/>
        </bottom>
      </border>
    </dxf>
    <dxf>
      <fill>
        <patternFill patternType="solid">
          <fgColor rgb="FFF6F8F9"/>
          <bgColor rgb="FFF6F8F9"/>
        </patternFill>
      </fill>
    </dxf>
    <dxf>
      <fill>
        <patternFill patternType="solid">
          <fgColor rgb="FFFFFFFF"/>
          <bgColor rgb="FFFFFFFF"/>
        </patternFill>
      </fill>
    </dxf>
    <dxf>
      <fill>
        <patternFill patternType="solid">
          <fgColor rgb="FFD4D7F0"/>
          <bgColor rgb="FFD4D7F0"/>
        </patternFill>
      </fill>
    </dxf>
    <dxf>
      <fill>
        <patternFill patternType="solid">
          <fgColor rgb="FF535FC1"/>
          <bgColor rgb="FF535FC1"/>
        </patternFill>
      </fill>
    </dxf>
    <dxf>
      <border>
        <left style="thin">
          <color rgb="FF535FC1"/>
        </left>
        <right style="thin">
          <color rgb="FF535FC1"/>
        </right>
        <top style="thin">
          <color rgb="FF535FC1"/>
        </top>
        <bottom style="thin">
          <color rgb="FF535FC1"/>
        </bottom>
      </border>
    </dxf>
    <dxf>
      <fill>
        <patternFill patternType="solid">
          <fgColor rgb="FFF6F8F9"/>
          <bgColor rgb="FFF6F8F9"/>
        </patternFill>
      </fill>
    </dxf>
    <dxf>
      <fill>
        <patternFill patternType="solid">
          <fgColor rgb="FFFFFFFF"/>
          <bgColor rgb="FFFFFFFF"/>
        </patternFill>
      </fill>
    </dxf>
    <dxf>
      <fill>
        <patternFill patternType="solid">
          <fgColor rgb="FFD4D7F0"/>
          <bgColor rgb="FFD4D7F0"/>
        </patternFill>
      </fill>
    </dxf>
    <dxf>
      <fill>
        <patternFill patternType="solid">
          <fgColor rgb="FF535FC1"/>
          <bgColor rgb="FF535FC1"/>
        </patternFill>
      </fill>
    </dxf>
    <dxf>
      <border>
        <left style="thin">
          <color rgb="FF535FC1"/>
        </left>
        <right style="thin">
          <color rgb="FF535FC1"/>
        </right>
        <top style="thin">
          <color rgb="FF535FC1"/>
        </top>
        <bottom style="thin">
          <color rgb="FF535FC1"/>
        </bottom>
      </border>
    </dxf>
    <dxf>
      <fill>
        <patternFill patternType="solid">
          <fgColor rgb="FFF6F8F9"/>
          <bgColor rgb="FFF6F8F9"/>
        </patternFill>
      </fill>
    </dxf>
    <dxf>
      <fill>
        <patternFill patternType="solid">
          <fgColor rgb="FFFFFFFF"/>
          <bgColor rgb="FFFFFFFF"/>
        </patternFill>
      </fill>
    </dxf>
    <dxf>
      <fill>
        <patternFill patternType="solid">
          <fgColor rgb="FF626E7A"/>
          <bgColor rgb="FF626E7A"/>
        </patternFill>
      </fill>
    </dxf>
    <dxf>
      <border>
        <left style="thin">
          <color rgb="FF535FC1"/>
        </left>
        <right style="thin">
          <color rgb="FF535FC1"/>
        </right>
        <top style="thin">
          <color rgb="FF535FC1"/>
        </top>
        <bottom style="thin">
          <color rgb="FF535FC1"/>
        </bottom>
      </border>
    </dxf>
    <dxf>
      <fill>
        <patternFill patternType="solid">
          <fgColor rgb="FFF6F8F9"/>
          <bgColor rgb="FFF6F8F9"/>
        </patternFill>
      </fill>
    </dxf>
    <dxf>
      <fill>
        <patternFill patternType="solid">
          <fgColor rgb="FFFFFFFF"/>
          <bgColor rgb="FFFFFFFF"/>
        </patternFill>
      </fill>
    </dxf>
    <dxf>
      <fill>
        <patternFill patternType="solid">
          <fgColor rgb="FFD4D7F0"/>
          <bgColor rgb="FFD4D7F0"/>
        </patternFill>
      </fill>
    </dxf>
    <dxf>
      <fill>
        <patternFill patternType="solid">
          <fgColor rgb="FF535FC1"/>
          <bgColor rgb="FF535FC1"/>
        </patternFill>
      </fill>
    </dxf>
    <dxf>
      <border>
        <left style="thin">
          <color rgb="FF535FC1"/>
        </left>
        <right style="thin">
          <color rgb="FF535FC1"/>
        </right>
        <top style="thin">
          <color rgb="FF535FC1"/>
        </top>
        <bottom style="thin">
          <color rgb="FF535FC1"/>
        </bottom>
      </border>
    </dxf>
    <dxf>
      <fill>
        <patternFill patternType="solid">
          <fgColor rgb="FFF6F8F9"/>
          <bgColor rgb="FFF6F8F9"/>
        </patternFill>
      </fill>
    </dxf>
    <dxf>
      <fill>
        <patternFill patternType="solid">
          <fgColor rgb="FFFFFFFF"/>
          <bgColor rgb="FFFFFFFF"/>
        </patternFill>
      </fill>
    </dxf>
    <dxf>
      <fill>
        <patternFill patternType="solid">
          <fgColor rgb="FFD4D7F0"/>
          <bgColor rgb="FFD4D7F0"/>
        </patternFill>
      </fill>
    </dxf>
    <dxf>
      <fill>
        <patternFill patternType="solid">
          <fgColor rgb="FF535FC1"/>
          <bgColor rgb="FF535FC1"/>
        </patternFill>
      </fill>
    </dxf>
    <dxf>
      <border>
        <left style="thin">
          <color rgb="FF535FC1"/>
        </left>
        <right style="thin">
          <color rgb="FF535FC1"/>
        </right>
        <top style="thin">
          <color rgb="FF535FC1"/>
        </top>
        <bottom style="thin">
          <color rgb="FF535FC1"/>
        </bottom>
      </border>
    </dxf>
    <dxf>
      <fill>
        <patternFill patternType="solid">
          <fgColor rgb="FFF6F8F9"/>
          <bgColor rgb="FFF6F8F9"/>
        </patternFill>
      </fill>
    </dxf>
    <dxf>
      <fill>
        <patternFill patternType="solid">
          <fgColor rgb="FFFFFFFF"/>
          <bgColor rgb="FFFFFFFF"/>
        </patternFill>
      </fill>
    </dxf>
    <dxf>
      <fill>
        <patternFill patternType="solid">
          <fgColor rgb="FF626E7A"/>
          <bgColor rgb="FF626E7A"/>
        </patternFill>
      </fill>
    </dxf>
    <dxf>
      <border>
        <left style="thin">
          <color rgb="FF535FC1"/>
        </left>
        <right style="thin">
          <color rgb="FF535FC1"/>
        </right>
        <top style="thin">
          <color rgb="FF535FC1"/>
        </top>
        <bottom style="thin">
          <color rgb="FF535FC1"/>
        </bottom>
      </border>
    </dxf>
    <dxf>
      <fill>
        <patternFill patternType="solid">
          <fgColor rgb="FFF6F8F9"/>
          <bgColor rgb="FFF6F8F9"/>
        </patternFill>
      </fill>
    </dxf>
    <dxf>
      <fill>
        <patternFill patternType="solid">
          <fgColor rgb="FFFFFFFF"/>
          <bgColor rgb="FFFFFFFF"/>
        </patternFill>
      </fill>
    </dxf>
    <dxf>
      <fill>
        <patternFill patternType="solid">
          <fgColor rgb="FFD4D7F0"/>
          <bgColor rgb="FFD4D7F0"/>
        </patternFill>
      </fill>
    </dxf>
    <dxf>
      <fill>
        <patternFill patternType="solid">
          <fgColor rgb="FF535FC1"/>
          <bgColor rgb="FF535FC1"/>
        </patternFill>
      </fill>
    </dxf>
    <dxf>
      <border>
        <left style="thin">
          <color rgb="FF535FC1"/>
        </left>
        <right style="thin">
          <color rgb="FF535FC1"/>
        </right>
        <top style="thin">
          <color rgb="FF535FC1"/>
        </top>
        <bottom style="thin">
          <color rgb="FF535FC1"/>
        </bottom>
      </border>
    </dxf>
    <dxf>
      <fill>
        <patternFill patternType="solid">
          <fgColor rgb="FFF6F8F9"/>
          <bgColor rgb="FFF6F8F9"/>
        </patternFill>
      </fill>
    </dxf>
    <dxf>
      <fill>
        <patternFill patternType="solid">
          <fgColor rgb="FFFFFFFF"/>
          <bgColor rgb="FFFFFFFF"/>
        </patternFill>
      </fill>
    </dxf>
    <dxf>
      <fill>
        <patternFill patternType="solid">
          <fgColor rgb="FFD4D7F0"/>
          <bgColor rgb="FFD4D7F0"/>
        </patternFill>
      </fill>
    </dxf>
    <dxf>
      <fill>
        <patternFill patternType="solid">
          <fgColor rgb="FF535FC1"/>
          <bgColor rgb="FF535FC1"/>
        </patternFill>
      </fill>
    </dxf>
    <dxf>
      <border>
        <left style="thin">
          <color rgb="FF535FC1"/>
        </left>
        <right style="thin">
          <color rgb="FF535FC1"/>
        </right>
        <top style="thin">
          <color rgb="FF535FC1"/>
        </top>
        <bottom style="thin">
          <color rgb="FF535FC1"/>
        </bottom>
      </border>
    </dxf>
    <dxf>
      <fill>
        <patternFill patternType="solid">
          <fgColor rgb="FFF6F8F9"/>
          <bgColor rgb="FFF6F8F9"/>
        </patternFill>
      </fill>
    </dxf>
    <dxf>
      <fill>
        <patternFill patternType="solid">
          <fgColor rgb="FFFFFFFF"/>
          <bgColor rgb="FFFFFFFF"/>
        </patternFill>
      </fill>
    </dxf>
    <dxf>
      <fill>
        <patternFill patternType="solid">
          <fgColor rgb="FF626E7A"/>
          <bgColor rgb="FF626E7A"/>
        </patternFill>
      </fill>
    </dxf>
    <dxf>
      <border>
        <left style="thin">
          <color rgb="FF535FC1"/>
        </left>
        <right style="thin">
          <color rgb="FF535FC1"/>
        </right>
        <top style="thin">
          <color rgb="FF535FC1"/>
        </top>
        <bottom style="thin">
          <color rgb="FF535FC1"/>
        </bottom>
      </border>
    </dxf>
    <dxf>
      <fill>
        <patternFill patternType="solid">
          <fgColor rgb="FFF6F8F9"/>
          <bgColor rgb="FFF6F8F9"/>
        </patternFill>
      </fill>
    </dxf>
    <dxf>
      <fill>
        <patternFill patternType="solid">
          <fgColor rgb="FFFFFFFF"/>
          <bgColor rgb="FFFFFFFF"/>
        </patternFill>
      </fill>
    </dxf>
    <dxf>
      <fill>
        <patternFill patternType="solid">
          <fgColor rgb="FFD4D7F0"/>
          <bgColor rgb="FFD4D7F0"/>
        </patternFill>
      </fill>
    </dxf>
    <dxf>
      <fill>
        <patternFill patternType="solid">
          <fgColor rgb="FF535FC1"/>
          <bgColor rgb="FF535FC1"/>
        </patternFill>
      </fill>
    </dxf>
    <dxf>
      <border>
        <left style="thin">
          <color rgb="FF535FC1"/>
        </left>
        <right style="thin">
          <color rgb="FF535FC1"/>
        </right>
        <top style="thin">
          <color rgb="FF535FC1"/>
        </top>
        <bottom style="thin">
          <color rgb="FF535FC1"/>
        </bottom>
      </border>
    </dxf>
  </dxfs>
  <tableStyles count="22">
    <tableStyle name="Dashboard-style" pivot="0" count="5" xr9:uid="{00000000-0011-0000-FFFF-FFFF00000000}">
      <tableStyleElement type="wholeTable" size="0" dxfId="379"/>
      <tableStyleElement type="headerRow" dxfId="378"/>
      <tableStyleElement type="totalRow" dxfId="377"/>
      <tableStyleElement type="firstRowStripe" dxfId="376"/>
      <tableStyleElement type="secondRowStripe" dxfId="375"/>
    </tableStyle>
    <tableStyle name="Bulk Formulation-style" pivot="0" count="4" xr9:uid="{00000000-0011-0000-FFFF-FFFF01000000}">
      <tableStyleElement type="wholeTable" size="0" dxfId="374"/>
      <tableStyleElement type="headerRow" dxfId="373"/>
      <tableStyleElement type="firstRowStripe" dxfId="372"/>
      <tableStyleElement type="secondRowStripe" dxfId="371"/>
    </tableStyle>
    <tableStyle name="Bulk Formulation-style 2" pivot="0" count="5" xr9:uid="{00000000-0011-0000-FFFF-FFFF02000000}">
      <tableStyleElement type="wholeTable" size="0" dxfId="370"/>
      <tableStyleElement type="headerRow" dxfId="369"/>
      <tableStyleElement type="totalRow" dxfId="368"/>
      <tableStyleElement type="firstRowStripe" dxfId="367"/>
      <tableStyleElement type="secondRowStripe" dxfId="366"/>
    </tableStyle>
    <tableStyle name="Bulk Formulation-style 3" pivot="0" count="5" xr9:uid="{00000000-0011-0000-FFFF-FFFF03000000}">
      <tableStyleElement type="wholeTable" size="0" dxfId="365"/>
      <tableStyleElement type="headerRow" dxfId="364"/>
      <tableStyleElement type="totalRow" dxfId="363"/>
      <tableStyleElement type="firstRowStripe" dxfId="362"/>
      <tableStyleElement type="secondRowStripe" dxfId="361"/>
    </tableStyle>
    <tableStyle name="Virus Inactivation-style" pivot="0" count="4" xr9:uid="{00000000-0011-0000-FFFF-FFFF04000000}">
      <tableStyleElement type="wholeTable" size="0" dxfId="360"/>
      <tableStyleElement type="headerRow" dxfId="359"/>
      <tableStyleElement type="firstRowStripe" dxfId="358"/>
      <tableStyleElement type="secondRowStripe" dxfId="357"/>
    </tableStyle>
    <tableStyle name="Virus Inactivation-style 2" pivot="0" count="5" xr9:uid="{00000000-0011-0000-FFFF-FFFF05000000}">
      <tableStyleElement type="wholeTable" size="0" dxfId="356"/>
      <tableStyleElement type="headerRow" dxfId="355"/>
      <tableStyleElement type="totalRow" dxfId="354"/>
      <tableStyleElement type="firstRowStripe" dxfId="353"/>
      <tableStyleElement type="secondRowStripe" dxfId="352"/>
    </tableStyle>
    <tableStyle name="Virus Inactivation-style 3" pivot="0" count="5" xr9:uid="{00000000-0011-0000-FFFF-FFFF06000000}">
      <tableStyleElement type="wholeTable" size="0" dxfId="351"/>
      <tableStyleElement type="headerRow" dxfId="350"/>
      <tableStyleElement type="totalRow" dxfId="349"/>
      <tableStyleElement type="firstRowStripe" dxfId="348"/>
      <tableStyleElement type="secondRowStripe" dxfId="347"/>
    </tableStyle>
    <tableStyle name="Virus Filtration-style" pivot="0" count="4" xr9:uid="{00000000-0011-0000-FFFF-FFFF07000000}">
      <tableStyleElement type="wholeTable" size="0" dxfId="346"/>
      <tableStyleElement type="headerRow" dxfId="345"/>
      <tableStyleElement type="firstRowStripe" dxfId="344"/>
      <tableStyleElement type="secondRowStripe" dxfId="343"/>
    </tableStyle>
    <tableStyle name="Virus Filtration-style 2" pivot="0" count="5" xr9:uid="{00000000-0011-0000-FFFF-FFFF08000000}">
      <tableStyleElement type="wholeTable" size="0" dxfId="342"/>
      <tableStyleElement type="headerRow" dxfId="341"/>
      <tableStyleElement type="totalRow" dxfId="340"/>
      <tableStyleElement type="firstRowStripe" dxfId="339"/>
      <tableStyleElement type="secondRowStripe" dxfId="338"/>
    </tableStyle>
    <tableStyle name="Virus Filtration-style 3" pivot="0" count="5" xr9:uid="{00000000-0011-0000-FFFF-FFFF09000000}">
      <tableStyleElement type="wholeTable" size="0" dxfId="337"/>
      <tableStyleElement type="headerRow" dxfId="336"/>
      <tableStyleElement type="totalRow" dxfId="335"/>
      <tableStyleElement type="firstRowStripe" dxfId="334"/>
      <tableStyleElement type="secondRowStripe" dxfId="333"/>
    </tableStyle>
    <tableStyle name="Chromatography 1-style" pivot="0" count="4" xr9:uid="{00000000-0011-0000-FFFF-FFFF0A000000}">
      <tableStyleElement type="wholeTable" size="0" dxfId="332"/>
      <tableStyleElement type="headerRow" dxfId="331"/>
      <tableStyleElement type="firstRowStripe" dxfId="330"/>
      <tableStyleElement type="secondRowStripe" dxfId="329"/>
    </tableStyle>
    <tableStyle name="Chromatography 1-style 2" pivot="0" count="5" xr9:uid="{00000000-0011-0000-FFFF-FFFF0B000000}">
      <tableStyleElement type="wholeTable" size="0" dxfId="328"/>
      <tableStyleElement type="headerRow" dxfId="327"/>
      <tableStyleElement type="totalRow" dxfId="326"/>
      <tableStyleElement type="firstRowStripe" dxfId="325"/>
      <tableStyleElement type="secondRowStripe" dxfId="324"/>
    </tableStyle>
    <tableStyle name="Chromatography 1-style 3" pivot="0" count="5" xr9:uid="{00000000-0011-0000-FFFF-FFFF0C000000}">
      <tableStyleElement type="wholeTable" size="0" dxfId="323"/>
      <tableStyleElement type="headerRow" dxfId="322"/>
      <tableStyleElement type="totalRow" dxfId="321"/>
      <tableStyleElement type="firstRowStripe" dxfId="320"/>
      <tableStyleElement type="secondRowStripe" dxfId="319"/>
    </tableStyle>
    <tableStyle name="Chromatography 2-style" pivot="0" count="4" xr9:uid="{00000000-0011-0000-FFFF-FFFF0D000000}">
      <tableStyleElement type="wholeTable" size="0" dxfId="318"/>
      <tableStyleElement type="headerRow" dxfId="317"/>
      <tableStyleElement type="firstRowStripe" dxfId="316"/>
      <tableStyleElement type="secondRowStripe" dxfId="315"/>
    </tableStyle>
    <tableStyle name="Chromatography 2-style 2" pivot="0" count="5" xr9:uid="{00000000-0011-0000-FFFF-FFFF0E000000}">
      <tableStyleElement type="wholeTable" size="0" dxfId="314"/>
      <tableStyleElement type="headerRow" dxfId="313"/>
      <tableStyleElement type="totalRow" dxfId="312"/>
      <tableStyleElement type="firstRowStripe" dxfId="311"/>
      <tableStyleElement type="secondRowStripe" dxfId="310"/>
    </tableStyle>
    <tableStyle name="Chromatography 2-style 3" pivot="0" count="5" xr9:uid="{00000000-0011-0000-FFFF-FFFF0F000000}">
      <tableStyleElement type="wholeTable" size="0" dxfId="309"/>
      <tableStyleElement type="headerRow" dxfId="308"/>
      <tableStyleElement type="totalRow" dxfId="307"/>
      <tableStyleElement type="firstRowStripe" dxfId="306"/>
      <tableStyleElement type="secondRowStripe" dxfId="305"/>
    </tableStyle>
    <tableStyle name="Conjugation 1-style" pivot="0" count="4" xr9:uid="{00000000-0011-0000-FFFF-FFFF10000000}">
      <tableStyleElement type="wholeTable" size="0" dxfId="304"/>
      <tableStyleElement type="headerRow" dxfId="303"/>
      <tableStyleElement type="firstRowStripe" dxfId="302"/>
      <tableStyleElement type="secondRowStripe" dxfId="301"/>
    </tableStyle>
    <tableStyle name="Conjugation 1-style 2" pivot="0" count="5" xr9:uid="{00000000-0011-0000-FFFF-FFFF11000000}">
      <tableStyleElement type="wholeTable" size="0" dxfId="300"/>
      <tableStyleElement type="headerRow" dxfId="299"/>
      <tableStyleElement type="totalRow" dxfId="298"/>
      <tableStyleElement type="firstRowStripe" dxfId="297"/>
      <tableStyleElement type="secondRowStripe" dxfId="296"/>
    </tableStyle>
    <tableStyle name="Conjugation 1-style 3" pivot="0" count="5" xr9:uid="{00000000-0011-0000-FFFF-FFFF12000000}">
      <tableStyleElement type="wholeTable" size="0" dxfId="295"/>
      <tableStyleElement type="headerRow" dxfId="294"/>
      <tableStyleElement type="totalRow" dxfId="293"/>
      <tableStyleElement type="firstRowStripe" dxfId="292"/>
      <tableStyleElement type="secondRowStripe" dxfId="291"/>
    </tableStyle>
    <tableStyle name="Conjugation 2-style" pivot="0" count="4" xr9:uid="{00000000-0011-0000-FFFF-FFFF13000000}">
      <tableStyleElement type="wholeTable" size="0" dxfId="290"/>
      <tableStyleElement type="headerRow" dxfId="289"/>
      <tableStyleElement type="firstRowStripe" dxfId="288"/>
      <tableStyleElement type="secondRowStripe" dxfId="287"/>
    </tableStyle>
    <tableStyle name="Conjugation 2-style 2" pivot="0" count="5" xr9:uid="{00000000-0011-0000-FFFF-FFFF14000000}">
      <tableStyleElement type="wholeTable" size="0" dxfId="286"/>
      <tableStyleElement type="headerRow" dxfId="285"/>
      <tableStyleElement type="totalRow" dxfId="284"/>
      <tableStyleElement type="firstRowStripe" dxfId="283"/>
      <tableStyleElement type="secondRowStripe" dxfId="282"/>
    </tableStyle>
    <tableStyle name="Conjugation 2-style 3" pivot="0" count="5" xr9:uid="{00000000-0011-0000-FFFF-FFFF15000000}">
      <tableStyleElement type="wholeTable" size="0" dxfId="281"/>
      <tableStyleElement type="headerRow" dxfId="280"/>
      <tableStyleElement type="totalRow" dxfId="279"/>
      <tableStyleElement type="firstRowStripe" dxfId="278"/>
      <tableStyleElement type="secondRowStripe" dxfId="277"/>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8.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lang="en-ZA" b="0">
                <a:solidFill>
                  <a:srgbClr val="757575"/>
                </a:solidFill>
                <a:latin typeface="+mn-lt"/>
              </a:rPr>
              <a:t>Total Steps and Effort Hours (hrs)</a:t>
            </a:r>
          </a:p>
        </c:rich>
      </c:tx>
      <c:overlay val="0"/>
    </c:title>
    <c:autoTitleDeleted val="0"/>
    <c:plotArea>
      <c:layout/>
      <c:barChart>
        <c:barDir val="bar"/>
        <c:grouping val="clustered"/>
        <c:varyColors val="1"/>
        <c:ser>
          <c:idx val="0"/>
          <c:order val="0"/>
          <c:tx>
            <c:strRef>
              <c:f>'Bulk Formulation'!$O$2</c:f>
              <c:strCache>
                <c:ptCount val="1"/>
                <c:pt idx="0">
                  <c:v>Total Steps</c:v>
                </c:pt>
              </c:strCache>
            </c:strRef>
          </c:tx>
          <c:spPr>
            <a:solidFill>
              <a:srgbClr val="4285F4"/>
            </a:solidFill>
            <a:ln cmpd="sng">
              <a:solidFill>
                <a:srgbClr val="000000"/>
              </a:solidFill>
            </a:ln>
          </c:spPr>
          <c:invertIfNegative val="1"/>
          <c:cat>
            <c:strRef>
              <c:f>'Bulk Formulation'!$N$3:$N$4</c:f>
              <c:strCache>
                <c:ptCount val="2"/>
                <c:pt idx="0">
                  <c:v>Detailed Analysis</c:v>
                </c:pt>
                <c:pt idx="1">
                  <c:v>Streamlined Analysis</c:v>
                </c:pt>
              </c:strCache>
            </c:strRef>
          </c:cat>
          <c:val>
            <c:numRef>
              <c:f>'Bulk Formulation'!$O$3:$O$4</c:f>
              <c:numCache>
                <c:formatCode>General</c:formatCode>
                <c:ptCount val="2"/>
                <c:pt idx="0">
                  <c:v>158</c:v>
                </c:pt>
                <c:pt idx="1">
                  <c:v>17</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2B87-4302-845B-AAD6B7200962}"/>
            </c:ext>
          </c:extLst>
        </c:ser>
        <c:ser>
          <c:idx val="1"/>
          <c:order val="1"/>
          <c:tx>
            <c:strRef>
              <c:f>'Bulk Formulation'!$P$2</c:f>
              <c:strCache>
                <c:ptCount val="1"/>
                <c:pt idx="0">
                  <c:v>Effort Hours (hrs)</c:v>
                </c:pt>
              </c:strCache>
            </c:strRef>
          </c:tx>
          <c:spPr>
            <a:solidFill>
              <a:srgbClr val="EA4335"/>
            </a:solidFill>
            <a:ln cmpd="sng">
              <a:solidFill>
                <a:srgbClr val="000000"/>
              </a:solidFill>
            </a:ln>
          </c:spPr>
          <c:invertIfNegative val="1"/>
          <c:cat>
            <c:strRef>
              <c:f>'Bulk Formulation'!$N$3:$N$4</c:f>
              <c:strCache>
                <c:ptCount val="2"/>
                <c:pt idx="0">
                  <c:v>Detailed Analysis</c:v>
                </c:pt>
                <c:pt idx="1">
                  <c:v>Streamlined Analysis</c:v>
                </c:pt>
              </c:strCache>
            </c:strRef>
          </c:cat>
          <c:val>
            <c:numRef>
              <c:f>'Bulk Formulation'!$P$3:$P$4</c:f>
              <c:numCache>
                <c:formatCode>General</c:formatCode>
                <c:ptCount val="2"/>
                <c:pt idx="0">
                  <c:v>6152</c:v>
                </c:pt>
                <c:pt idx="1">
                  <c:v>1088</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2B87-4302-845B-AAD6B7200962}"/>
            </c:ext>
          </c:extLst>
        </c:ser>
        <c:dLbls>
          <c:showLegendKey val="0"/>
          <c:showVal val="0"/>
          <c:showCatName val="0"/>
          <c:showSerName val="0"/>
          <c:showPercent val="0"/>
          <c:showBubbleSize val="0"/>
        </c:dLbls>
        <c:gapWidth val="150"/>
        <c:axId val="616085605"/>
        <c:axId val="647386989"/>
      </c:barChart>
      <c:catAx>
        <c:axId val="616085605"/>
        <c:scaling>
          <c:orientation val="maxMin"/>
        </c:scaling>
        <c:delete val="0"/>
        <c:axPos val="l"/>
        <c:title>
          <c:tx>
            <c:rich>
              <a:bodyPr/>
              <a:lstStyle/>
              <a:p>
                <a:pPr lvl="0">
                  <a:defRPr b="0">
                    <a:solidFill>
                      <a:srgbClr val="000000"/>
                    </a:solidFill>
                    <a:latin typeface="+mn-lt"/>
                  </a:defRPr>
                </a:pPr>
                <a:r>
                  <a:rPr lang="en-ZA" b="0">
                    <a:solidFill>
                      <a:srgbClr val="000000"/>
                    </a:solidFill>
                    <a:latin typeface="+mn-lt"/>
                  </a:rPr>
                  <a:t>Analysis Type</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647386989"/>
        <c:crosses val="autoZero"/>
        <c:auto val="1"/>
        <c:lblAlgn val="ctr"/>
        <c:lblOffset val="100"/>
        <c:noMultiLvlLbl val="1"/>
      </c:catAx>
      <c:valAx>
        <c:axId val="647386989"/>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ZA"/>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US"/>
          </a:p>
        </c:txPr>
        <c:crossAx val="616085605"/>
        <c:crosses val="max"/>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lang="en-ZA" b="0">
                <a:solidFill>
                  <a:srgbClr val="757575"/>
                </a:solidFill>
                <a:latin typeface="+mn-lt"/>
              </a:rPr>
              <a:t>Total Steps and Effort Hours (hrs)</a:t>
            </a:r>
          </a:p>
        </c:rich>
      </c:tx>
      <c:overlay val="0"/>
    </c:title>
    <c:autoTitleDeleted val="0"/>
    <c:plotArea>
      <c:layout/>
      <c:barChart>
        <c:barDir val="bar"/>
        <c:grouping val="clustered"/>
        <c:varyColors val="1"/>
        <c:ser>
          <c:idx val="0"/>
          <c:order val="0"/>
          <c:tx>
            <c:strRef>
              <c:f>'Virus Inactivation'!$O$2</c:f>
              <c:strCache>
                <c:ptCount val="1"/>
                <c:pt idx="0">
                  <c:v>Total Steps</c:v>
                </c:pt>
              </c:strCache>
            </c:strRef>
          </c:tx>
          <c:spPr>
            <a:solidFill>
              <a:srgbClr val="4285F4"/>
            </a:solidFill>
            <a:ln cmpd="sng">
              <a:solidFill>
                <a:srgbClr val="000000"/>
              </a:solidFill>
            </a:ln>
          </c:spPr>
          <c:invertIfNegative val="1"/>
          <c:cat>
            <c:strRef>
              <c:f>'Virus Inactivation'!$N$3:$N$4</c:f>
              <c:strCache>
                <c:ptCount val="2"/>
                <c:pt idx="0">
                  <c:v>Detailed Analysis</c:v>
                </c:pt>
                <c:pt idx="1">
                  <c:v>Streamlined Analysis</c:v>
                </c:pt>
              </c:strCache>
            </c:strRef>
          </c:cat>
          <c:val>
            <c:numRef>
              <c:f>'Virus Inactivation'!$O$3:$O$4</c:f>
              <c:numCache>
                <c:formatCode>General</c:formatCode>
                <c:ptCount val="2"/>
                <c:pt idx="0">
                  <c:v>80</c:v>
                </c:pt>
                <c:pt idx="1">
                  <c:v>11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8470-4A55-B698-4EC3ABB29372}"/>
            </c:ext>
          </c:extLst>
        </c:ser>
        <c:ser>
          <c:idx val="1"/>
          <c:order val="1"/>
          <c:tx>
            <c:strRef>
              <c:f>'Virus Inactivation'!$P$2</c:f>
              <c:strCache>
                <c:ptCount val="1"/>
                <c:pt idx="0">
                  <c:v>Effort Hours (hrs)</c:v>
                </c:pt>
              </c:strCache>
            </c:strRef>
          </c:tx>
          <c:spPr>
            <a:solidFill>
              <a:srgbClr val="EA4335"/>
            </a:solidFill>
            <a:ln cmpd="sng">
              <a:solidFill>
                <a:srgbClr val="000000"/>
              </a:solidFill>
            </a:ln>
          </c:spPr>
          <c:invertIfNegative val="1"/>
          <c:cat>
            <c:strRef>
              <c:f>'Virus Inactivation'!$N$3:$N$4</c:f>
              <c:strCache>
                <c:ptCount val="2"/>
                <c:pt idx="0">
                  <c:v>Detailed Analysis</c:v>
                </c:pt>
                <c:pt idx="1">
                  <c:v>Streamlined Analysis</c:v>
                </c:pt>
              </c:strCache>
            </c:strRef>
          </c:cat>
          <c:val>
            <c:numRef>
              <c:f>'Virus Inactivation'!$P$3:$P$4</c:f>
              <c:numCache>
                <c:formatCode>General</c:formatCode>
                <c:ptCount val="2"/>
                <c:pt idx="0">
                  <c:v>3080</c:v>
                </c:pt>
                <c:pt idx="1">
                  <c:v>632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8470-4A55-B698-4EC3ABB29372}"/>
            </c:ext>
          </c:extLst>
        </c:ser>
        <c:dLbls>
          <c:showLegendKey val="0"/>
          <c:showVal val="0"/>
          <c:showCatName val="0"/>
          <c:showSerName val="0"/>
          <c:showPercent val="0"/>
          <c:showBubbleSize val="0"/>
        </c:dLbls>
        <c:gapWidth val="150"/>
        <c:axId val="928339395"/>
        <c:axId val="36402685"/>
      </c:barChart>
      <c:catAx>
        <c:axId val="928339395"/>
        <c:scaling>
          <c:orientation val="maxMin"/>
        </c:scaling>
        <c:delete val="0"/>
        <c:axPos val="l"/>
        <c:title>
          <c:tx>
            <c:rich>
              <a:bodyPr/>
              <a:lstStyle/>
              <a:p>
                <a:pPr lvl="0">
                  <a:defRPr b="0">
                    <a:solidFill>
                      <a:srgbClr val="000000"/>
                    </a:solidFill>
                    <a:latin typeface="+mn-lt"/>
                  </a:defRPr>
                </a:pPr>
                <a:r>
                  <a:rPr lang="en-ZA" b="0">
                    <a:solidFill>
                      <a:srgbClr val="000000"/>
                    </a:solidFill>
                    <a:latin typeface="+mn-lt"/>
                  </a:rPr>
                  <a:t>Analysis Type</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36402685"/>
        <c:crosses val="autoZero"/>
        <c:auto val="1"/>
        <c:lblAlgn val="ctr"/>
        <c:lblOffset val="100"/>
        <c:noMultiLvlLbl val="1"/>
      </c:catAx>
      <c:valAx>
        <c:axId val="36402685"/>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ZA"/>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US"/>
          </a:p>
        </c:txPr>
        <c:crossAx val="928339395"/>
        <c:crosses val="max"/>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lang="en-ZA" b="0">
                <a:solidFill>
                  <a:srgbClr val="757575"/>
                </a:solidFill>
                <a:latin typeface="+mn-lt"/>
              </a:rPr>
              <a:t>Total Steps and Effort Hours (hrs)</a:t>
            </a:r>
          </a:p>
        </c:rich>
      </c:tx>
      <c:overlay val="0"/>
    </c:title>
    <c:autoTitleDeleted val="0"/>
    <c:plotArea>
      <c:layout/>
      <c:barChart>
        <c:barDir val="bar"/>
        <c:grouping val="clustered"/>
        <c:varyColors val="1"/>
        <c:ser>
          <c:idx val="0"/>
          <c:order val="0"/>
          <c:tx>
            <c:strRef>
              <c:f>'Virus Filtration'!$O$2</c:f>
              <c:strCache>
                <c:ptCount val="1"/>
                <c:pt idx="0">
                  <c:v>Total Steps</c:v>
                </c:pt>
              </c:strCache>
            </c:strRef>
          </c:tx>
          <c:spPr>
            <a:solidFill>
              <a:srgbClr val="4285F4"/>
            </a:solidFill>
            <a:ln cmpd="sng">
              <a:solidFill>
                <a:srgbClr val="000000"/>
              </a:solidFill>
            </a:ln>
          </c:spPr>
          <c:invertIfNegative val="1"/>
          <c:cat>
            <c:strRef>
              <c:f>'Virus Filtration'!$N$3:$N$4</c:f>
              <c:strCache>
                <c:ptCount val="2"/>
                <c:pt idx="0">
                  <c:v>Detailed Analysis</c:v>
                </c:pt>
                <c:pt idx="1">
                  <c:v>Streamlined Analysis</c:v>
                </c:pt>
              </c:strCache>
            </c:strRef>
          </c:cat>
          <c:val>
            <c:numRef>
              <c:f>'Virus Filtration'!$O$3:$O$4</c:f>
              <c:numCache>
                <c:formatCode>General</c:formatCode>
                <c:ptCount val="2"/>
                <c:pt idx="0">
                  <c:v>247</c:v>
                </c:pt>
                <c:pt idx="1">
                  <c:v>21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FEBA-4C63-8C11-B911E0C571B4}"/>
            </c:ext>
          </c:extLst>
        </c:ser>
        <c:ser>
          <c:idx val="1"/>
          <c:order val="1"/>
          <c:tx>
            <c:strRef>
              <c:f>'Virus Filtration'!$P$2</c:f>
              <c:strCache>
                <c:ptCount val="1"/>
                <c:pt idx="0">
                  <c:v>Effort Hours (hrs)</c:v>
                </c:pt>
              </c:strCache>
            </c:strRef>
          </c:tx>
          <c:spPr>
            <a:solidFill>
              <a:srgbClr val="EA4335"/>
            </a:solidFill>
            <a:ln cmpd="sng">
              <a:solidFill>
                <a:srgbClr val="000000"/>
              </a:solidFill>
            </a:ln>
          </c:spPr>
          <c:invertIfNegative val="1"/>
          <c:cat>
            <c:strRef>
              <c:f>'Virus Filtration'!$N$3:$N$4</c:f>
              <c:strCache>
                <c:ptCount val="2"/>
                <c:pt idx="0">
                  <c:v>Detailed Analysis</c:v>
                </c:pt>
                <c:pt idx="1">
                  <c:v>Streamlined Analysis</c:v>
                </c:pt>
              </c:strCache>
            </c:strRef>
          </c:cat>
          <c:val>
            <c:numRef>
              <c:f>'Virus Filtration'!$P$3:$P$4</c:f>
              <c:numCache>
                <c:formatCode>General</c:formatCode>
                <c:ptCount val="2"/>
                <c:pt idx="0">
                  <c:v>11932</c:v>
                </c:pt>
                <c:pt idx="1">
                  <c:v>1092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FEBA-4C63-8C11-B911E0C571B4}"/>
            </c:ext>
          </c:extLst>
        </c:ser>
        <c:dLbls>
          <c:showLegendKey val="0"/>
          <c:showVal val="0"/>
          <c:showCatName val="0"/>
          <c:showSerName val="0"/>
          <c:showPercent val="0"/>
          <c:showBubbleSize val="0"/>
        </c:dLbls>
        <c:gapWidth val="150"/>
        <c:axId val="2053206931"/>
        <c:axId val="1401509439"/>
      </c:barChart>
      <c:catAx>
        <c:axId val="2053206931"/>
        <c:scaling>
          <c:orientation val="maxMin"/>
        </c:scaling>
        <c:delete val="0"/>
        <c:axPos val="l"/>
        <c:title>
          <c:tx>
            <c:rich>
              <a:bodyPr/>
              <a:lstStyle/>
              <a:p>
                <a:pPr lvl="0">
                  <a:defRPr b="0">
                    <a:solidFill>
                      <a:srgbClr val="000000"/>
                    </a:solidFill>
                    <a:latin typeface="+mn-lt"/>
                  </a:defRPr>
                </a:pPr>
                <a:r>
                  <a:rPr lang="en-ZA" b="0">
                    <a:solidFill>
                      <a:srgbClr val="000000"/>
                    </a:solidFill>
                    <a:latin typeface="+mn-lt"/>
                  </a:rPr>
                  <a:t>Analysis Type</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1401509439"/>
        <c:crosses val="autoZero"/>
        <c:auto val="1"/>
        <c:lblAlgn val="ctr"/>
        <c:lblOffset val="100"/>
        <c:noMultiLvlLbl val="1"/>
      </c:catAx>
      <c:valAx>
        <c:axId val="1401509439"/>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ZA"/>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US"/>
          </a:p>
        </c:txPr>
        <c:crossAx val="2053206931"/>
        <c:crosses val="max"/>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lang="en-ZA" b="0">
                <a:solidFill>
                  <a:srgbClr val="757575"/>
                </a:solidFill>
                <a:latin typeface="+mn-lt"/>
              </a:rPr>
              <a:t>Total Steps and Effort Hours (hrs)</a:t>
            </a:r>
          </a:p>
        </c:rich>
      </c:tx>
      <c:overlay val="0"/>
    </c:title>
    <c:autoTitleDeleted val="0"/>
    <c:plotArea>
      <c:layout/>
      <c:barChart>
        <c:barDir val="bar"/>
        <c:grouping val="clustered"/>
        <c:varyColors val="1"/>
        <c:ser>
          <c:idx val="0"/>
          <c:order val="0"/>
          <c:tx>
            <c:strRef>
              <c:f>'Chromatography 1'!$O$2</c:f>
              <c:strCache>
                <c:ptCount val="1"/>
                <c:pt idx="0">
                  <c:v>Total Steps</c:v>
                </c:pt>
              </c:strCache>
            </c:strRef>
          </c:tx>
          <c:spPr>
            <a:solidFill>
              <a:srgbClr val="4285F4"/>
            </a:solidFill>
            <a:ln cmpd="sng">
              <a:solidFill>
                <a:srgbClr val="000000"/>
              </a:solidFill>
            </a:ln>
          </c:spPr>
          <c:invertIfNegative val="1"/>
          <c:cat>
            <c:strRef>
              <c:f>'Chromatography 1'!$N$3:$N$4</c:f>
              <c:strCache>
                <c:ptCount val="2"/>
                <c:pt idx="0">
                  <c:v>Detailed Analysis</c:v>
                </c:pt>
                <c:pt idx="1">
                  <c:v>Streamlined Analysis</c:v>
                </c:pt>
              </c:strCache>
            </c:strRef>
          </c:cat>
          <c:val>
            <c:numRef>
              <c:f>'Chromatography 1'!$O$3:$O$4</c:f>
              <c:numCache>
                <c:formatCode>General</c:formatCode>
                <c:ptCount val="2"/>
                <c:pt idx="0">
                  <c:v>202</c:v>
                </c:pt>
                <c:pt idx="1">
                  <c:v>29</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7C91-420B-8F4C-2B5BC8A6CC8C}"/>
            </c:ext>
          </c:extLst>
        </c:ser>
        <c:ser>
          <c:idx val="1"/>
          <c:order val="1"/>
          <c:tx>
            <c:strRef>
              <c:f>'Chromatography 1'!$P$2</c:f>
              <c:strCache>
                <c:ptCount val="1"/>
                <c:pt idx="0">
                  <c:v>Effort Hours (hrs)</c:v>
                </c:pt>
              </c:strCache>
            </c:strRef>
          </c:tx>
          <c:spPr>
            <a:solidFill>
              <a:srgbClr val="EA4335"/>
            </a:solidFill>
            <a:ln cmpd="sng">
              <a:solidFill>
                <a:srgbClr val="000000"/>
              </a:solidFill>
            </a:ln>
          </c:spPr>
          <c:invertIfNegative val="1"/>
          <c:cat>
            <c:strRef>
              <c:f>'Chromatography 1'!$N$3:$N$4</c:f>
              <c:strCache>
                <c:ptCount val="2"/>
                <c:pt idx="0">
                  <c:v>Detailed Analysis</c:v>
                </c:pt>
                <c:pt idx="1">
                  <c:v>Streamlined Analysis</c:v>
                </c:pt>
              </c:strCache>
            </c:strRef>
          </c:cat>
          <c:val>
            <c:numRef>
              <c:f>'Chromatography 1'!$P$3:$P$4</c:f>
              <c:numCache>
                <c:formatCode>General</c:formatCode>
                <c:ptCount val="2"/>
                <c:pt idx="0">
                  <c:v>6508</c:v>
                </c:pt>
                <c:pt idx="1">
                  <c:v>1520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7C91-420B-8F4C-2B5BC8A6CC8C}"/>
            </c:ext>
          </c:extLst>
        </c:ser>
        <c:dLbls>
          <c:showLegendKey val="0"/>
          <c:showVal val="0"/>
          <c:showCatName val="0"/>
          <c:showSerName val="0"/>
          <c:showPercent val="0"/>
          <c:showBubbleSize val="0"/>
        </c:dLbls>
        <c:gapWidth val="150"/>
        <c:axId val="1623027370"/>
        <c:axId val="7672286"/>
      </c:barChart>
      <c:catAx>
        <c:axId val="1623027370"/>
        <c:scaling>
          <c:orientation val="maxMin"/>
        </c:scaling>
        <c:delete val="0"/>
        <c:axPos val="l"/>
        <c:title>
          <c:tx>
            <c:rich>
              <a:bodyPr/>
              <a:lstStyle/>
              <a:p>
                <a:pPr lvl="0">
                  <a:defRPr b="0">
                    <a:solidFill>
                      <a:srgbClr val="000000"/>
                    </a:solidFill>
                    <a:latin typeface="+mn-lt"/>
                  </a:defRPr>
                </a:pPr>
                <a:r>
                  <a:rPr lang="en-ZA" b="0">
                    <a:solidFill>
                      <a:srgbClr val="000000"/>
                    </a:solidFill>
                    <a:latin typeface="+mn-lt"/>
                  </a:rPr>
                  <a:t>Analysis Type</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7672286"/>
        <c:crosses val="autoZero"/>
        <c:auto val="1"/>
        <c:lblAlgn val="ctr"/>
        <c:lblOffset val="100"/>
        <c:noMultiLvlLbl val="1"/>
      </c:catAx>
      <c:valAx>
        <c:axId val="7672286"/>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ZA"/>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US"/>
          </a:p>
        </c:txPr>
        <c:crossAx val="1623027370"/>
        <c:crosses val="max"/>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lang="en-ZA" b="0">
                <a:solidFill>
                  <a:srgbClr val="757575"/>
                </a:solidFill>
                <a:latin typeface="+mn-lt"/>
              </a:rPr>
              <a:t>Total Steps and Effort Hours (hrs)</a:t>
            </a:r>
          </a:p>
        </c:rich>
      </c:tx>
      <c:overlay val="0"/>
    </c:title>
    <c:autoTitleDeleted val="0"/>
    <c:plotArea>
      <c:layout/>
      <c:barChart>
        <c:barDir val="bar"/>
        <c:grouping val="clustered"/>
        <c:varyColors val="1"/>
        <c:ser>
          <c:idx val="0"/>
          <c:order val="0"/>
          <c:tx>
            <c:strRef>
              <c:f>'Chromatography 2'!$O$2</c:f>
              <c:strCache>
                <c:ptCount val="1"/>
                <c:pt idx="0">
                  <c:v>Total Steps</c:v>
                </c:pt>
              </c:strCache>
            </c:strRef>
          </c:tx>
          <c:spPr>
            <a:solidFill>
              <a:srgbClr val="4285F4"/>
            </a:solidFill>
            <a:ln cmpd="sng">
              <a:solidFill>
                <a:srgbClr val="000000"/>
              </a:solidFill>
            </a:ln>
          </c:spPr>
          <c:invertIfNegative val="1"/>
          <c:cat>
            <c:strRef>
              <c:f>'Chromatography 2'!$N$3:$N$4</c:f>
              <c:strCache>
                <c:ptCount val="2"/>
                <c:pt idx="0">
                  <c:v>Detailed Analysis</c:v>
                </c:pt>
                <c:pt idx="1">
                  <c:v>Streamlined Analysis</c:v>
                </c:pt>
              </c:strCache>
            </c:strRef>
          </c:cat>
          <c:val>
            <c:numRef>
              <c:f>'Chromatography 2'!$O$3:$O$4</c:f>
              <c:numCache>
                <c:formatCode>General</c:formatCode>
                <c:ptCount val="2"/>
                <c:pt idx="0">
                  <c:v>216</c:v>
                </c:pt>
                <c:pt idx="1">
                  <c:v>29</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D473-43E4-A68E-C27153266B33}"/>
            </c:ext>
          </c:extLst>
        </c:ser>
        <c:ser>
          <c:idx val="1"/>
          <c:order val="1"/>
          <c:tx>
            <c:strRef>
              <c:f>'Chromatography 2'!$P$2</c:f>
              <c:strCache>
                <c:ptCount val="1"/>
                <c:pt idx="0">
                  <c:v>Effort Hours (hrs)</c:v>
                </c:pt>
              </c:strCache>
            </c:strRef>
          </c:tx>
          <c:spPr>
            <a:solidFill>
              <a:srgbClr val="EA4335"/>
            </a:solidFill>
            <a:ln cmpd="sng">
              <a:solidFill>
                <a:srgbClr val="000000"/>
              </a:solidFill>
            </a:ln>
          </c:spPr>
          <c:invertIfNegative val="1"/>
          <c:cat>
            <c:strRef>
              <c:f>'Chromatography 2'!$N$3:$N$4</c:f>
              <c:strCache>
                <c:ptCount val="2"/>
                <c:pt idx="0">
                  <c:v>Detailed Analysis</c:v>
                </c:pt>
                <c:pt idx="1">
                  <c:v>Streamlined Analysis</c:v>
                </c:pt>
              </c:strCache>
            </c:strRef>
          </c:cat>
          <c:val>
            <c:numRef>
              <c:f>'Chromatography 2'!$P$3:$P$4</c:f>
              <c:numCache>
                <c:formatCode>General</c:formatCode>
                <c:ptCount val="2"/>
                <c:pt idx="0">
                  <c:v>8184</c:v>
                </c:pt>
                <c:pt idx="1">
                  <c:v>1784</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D473-43E4-A68E-C27153266B33}"/>
            </c:ext>
          </c:extLst>
        </c:ser>
        <c:dLbls>
          <c:showLegendKey val="0"/>
          <c:showVal val="0"/>
          <c:showCatName val="0"/>
          <c:showSerName val="0"/>
          <c:showPercent val="0"/>
          <c:showBubbleSize val="0"/>
        </c:dLbls>
        <c:gapWidth val="150"/>
        <c:axId val="1457427478"/>
        <c:axId val="475325576"/>
      </c:barChart>
      <c:catAx>
        <c:axId val="1457427478"/>
        <c:scaling>
          <c:orientation val="maxMin"/>
        </c:scaling>
        <c:delete val="0"/>
        <c:axPos val="l"/>
        <c:title>
          <c:tx>
            <c:rich>
              <a:bodyPr/>
              <a:lstStyle/>
              <a:p>
                <a:pPr lvl="0">
                  <a:defRPr b="0">
                    <a:solidFill>
                      <a:srgbClr val="000000"/>
                    </a:solidFill>
                    <a:latin typeface="+mn-lt"/>
                  </a:defRPr>
                </a:pPr>
                <a:r>
                  <a:rPr lang="en-ZA" b="0">
                    <a:solidFill>
                      <a:srgbClr val="000000"/>
                    </a:solidFill>
                    <a:latin typeface="+mn-lt"/>
                  </a:rPr>
                  <a:t>Analysis Type</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475325576"/>
        <c:crosses val="autoZero"/>
        <c:auto val="1"/>
        <c:lblAlgn val="ctr"/>
        <c:lblOffset val="100"/>
        <c:noMultiLvlLbl val="1"/>
      </c:catAx>
      <c:valAx>
        <c:axId val="475325576"/>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ZA"/>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US"/>
          </a:p>
        </c:txPr>
        <c:crossAx val="1457427478"/>
        <c:crosses val="max"/>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lang="en-ZA" b="0">
                <a:solidFill>
                  <a:srgbClr val="757575"/>
                </a:solidFill>
                <a:latin typeface="+mn-lt"/>
              </a:rPr>
              <a:t>Total Steps and Effort Hours (hrs)</a:t>
            </a:r>
          </a:p>
        </c:rich>
      </c:tx>
      <c:overlay val="0"/>
    </c:title>
    <c:autoTitleDeleted val="0"/>
    <c:plotArea>
      <c:layout/>
      <c:barChart>
        <c:barDir val="bar"/>
        <c:grouping val="clustered"/>
        <c:varyColors val="1"/>
        <c:ser>
          <c:idx val="0"/>
          <c:order val="0"/>
          <c:tx>
            <c:strRef>
              <c:f>'Conjugation 1'!$O$2</c:f>
              <c:strCache>
                <c:ptCount val="1"/>
                <c:pt idx="0">
                  <c:v>Total Steps</c:v>
                </c:pt>
              </c:strCache>
            </c:strRef>
          </c:tx>
          <c:spPr>
            <a:solidFill>
              <a:srgbClr val="4285F4"/>
            </a:solidFill>
            <a:ln cmpd="sng">
              <a:solidFill>
                <a:srgbClr val="000000"/>
              </a:solidFill>
            </a:ln>
          </c:spPr>
          <c:invertIfNegative val="1"/>
          <c:cat>
            <c:strRef>
              <c:f>'Conjugation 1'!$N$3:$N$4</c:f>
              <c:strCache>
                <c:ptCount val="2"/>
                <c:pt idx="0">
                  <c:v>Detailed Analysis</c:v>
                </c:pt>
                <c:pt idx="1">
                  <c:v>Streamlined Analysis</c:v>
                </c:pt>
              </c:strCache>
            </c:strRef>
          </c:cat>
          <c:val>
            <c:numRef>
              <c:f>'Conjugation 1'!$O$3:$O$4</c:f>
              <c:numCache>
                <c:formatCode>General</c:formatCode>
                <c:ptCount val="2"/>
                <c:pt idx="0">
                  <c:v>386</c:v>
                </c:pt>
                <c:pt idx="1">
                  <c:v>23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1EDB-4F39-A3D4-21F180825278}"/>
            </c:ext>
          </c:extLst>
        </c:ser>
        <c:ser>
          <c:idx val="1"/>
          <c:order val="1"/>
          <c:tx>
            <c:strRef>
              <c:f>'Conjugation 1'!$P$2</c:f>
              <c:strCache>
                <c:ptCount val="1"/>
                <c:pt idx="0">
                  <c:v>Effort Hours (hrs)</c:v>
                </c:pt>
              </c:strCache>
            </c:strRef>
          </c:tx>
          <c:spPr>
            <a:solidFill>
              <a:srgbClr val="EA4335"/>
            </a:solidFill>
            <a:ln cmpd="sng">
              <a:solidFill>
                <a:srgbClr val="000000"/>
              </a:solidFill>
            </a:ln>
          </c:spPr>
          <c:invertIfNegative val="1"/>
          <c:cat>
            <c:strRef>
              <c:f>'Conjugation 1'!$N$3:$N$4</c:f>
              <c:strCache>
                <c:ptCount val="2"/>
                <c:pt idx="0">
                  <c:v>Detailed Analysis</c:v>
                </c:pt>
                <c:pt idx="1">
                  <c:v>Streamlined Analysis</c:v>
                </c:pt>
              </c:strCache>
            </c:strRef>
          </c:cat>
          <c:val>
            <c:numRef>
              <c:f>'Conjugation 1'!$P$3:$P$4</c:f>
              <c:numCache>
                <c:formatCode>General</c:formatCode>
                <c:ptCount val="2"/>
                <c:pt idx="0">
                  <c:v>20024</c:v>
                </c:pt>
                <c:pt idx="1">
                  <c:v>1256</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1EDB-4F39-A3D4-21F180825278}"/>
            </c:ext>
          </c:extLst>
        </c:ser>
        <c:dLbls>
          <c:showLegendKey val="0"/>
          <c:showVal val="0"/>
          <c:showCatName val="0"/>
          <c:showSerName val="0"/>
          <c:showPercent val="0"/>
          <c:showBubbleSize val="0"/>
        </c:dLbls>
        <c:gapWidth val="150"/>
        <c:axId val="1841929419"/>
        <c:axId val="511418525"/>
      </c:barChart>
      <c:catAx>
        <c:axId val="1841929419"/>
        <c:scaling>
          <c:orientation val="maxMin"/>
        </c:scaling>
        <c:delete val="0"/>
        <c:axPos val="l"/>
        <c:title>
          <c:tx>
            <c:rich>
              <a:bodyPr/>
              <a:lstStyle/>
              <a:p>
                <a:pPr lvl="0">
                  <a:defRPr b="0">
                    <a:solidFill>
                      <a:srgbClr val="000000"/>
                    </a:solidFill>
                    <a:latin typeface="+mn-lt"/>
                  </a:defRPr>
                </a:pPr>
                <a:r>
                  <a:rPr lang="en-ZA" b="0">
                    <a:solidFill>
                      <a:srgbClr val="000000"/>
                    </a:solidFill>
                    <a:latin typeface="+mn-lt"/>
                  </a:rPr>
                  <a:t>Analysis Type</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511418525"/>
        <c:crosses val="autoZero"/>
        <c:auto val="1"/>
        <c:lblAlgn val="ctr"/>
        <c:lblOffset val="100"/>
        <c:noMultiLvlLbl val="1"/>
      </c:catAx>
      <c:valAx>
        <c:axId val="511418525"/>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ZA"/>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US"/>
          </a:p>
        </c:txPr>
        <c:crossAx val="1841929419"/>
        <c:crosses val="max"/>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lang="en-ZA" b="0">
                <a:solidFill>
                  <a:srgbClr val="757575"/>
                </a:solidFill>
                <a:latin typeface="+mn-lt"/>
              </a:rPr>
              <a:t>Total Steps and Effort Hours (hrs)</a:t>
            </a:r>
          </a:p>
        </c:rich>
      </c:tx>
      <c:overlay val="0"/>
    </c:title>
    <c:autoTitleDeleted val="0"/>
    <c:plotArea>
      <c:layout/>
      <c:barChart>
        <c:barDir val="bar"/>
        <c:grouping val="clustered"/>
        <c:varyColors val="1"/>
        <c:ser>
          <c:idx val="0"/>
          <c:order val="0"/>
          <c:tx>
            <c:strRef>
              <c:f>'Conjugation 2'!$O$2</c:f>
              <c:strCache>
                <c:ptCount val="1"/>
                <c:pt idx="0">
                  <c:v>Total Steps</c:v>
                </c:pt>
              </c:strCache>
            </c:strRef>
          </c:tx>
          <c:spPr>
            <a:solidFill>
              <a:srgbClr val="4285F4"/>
            </a:solidFill>
            <a:ln cmpd="sng">
              <a:solidFill>
                <a:srgbClr val="000000"/>
              </a:solidFill>
            </a:ln>
          </c:spPr>
          <c:invertIfNegative val="1"/>
          <c:cat>
            <c:strRef>
              <c:f>'Conjugation 2'!$N$3:$N$4</c:f>
              <c:strCache>
                <c:ptCount val="2"/>
                <c:pt idx="0">
                  <c:v>Detailed Analysis</c:v>
                </c:pt>
                <c:pt idx="1">
                  <c:v>Streamlined Analysis</c:v>
                </c:pt>
              </c:strCache>
            </c:strRef>
          </c:cat>
          <c:val>
            <c:numRef>
              <c:f>'Conjugation 2'!$O$3:$O$4</c:f>
              <c:numCache>
                <c:formatCode>General</c:formatCode>
                <c:ptCount val="2"/>
                <c:pt idx="0">
                  <c:v>73</c:v>
                </c:pt>
                <c:pt idx="1">
                  <c:v>8</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C01B-4EFA-B0BE-73C6299364D9}"/>
            </c:ext>
          </c:extLst>
        </c:ser>
        <c:ser>
          <c:idx val="1"/>
          <c:order val="1"/>
          <c:tx>
            <c:strRef>
              <c:f>'Conjugation 2'!$P$2</c:f>
              <c:strCache>
                <c:ptCount val="1"/>
                <c:pt idx="0">
                  <c:v>Effort Hours (hrs)</c:v>
                </c:pt>
              </c:strCache>
            </c:strRef>
          </c:tx>
          <c:spPr>
            <a:solidFill>
              <a:srgbClr val="EA4335"/>
            </a:solidFill>
            <a:ln cmpd="sng">
              <a:solidFill>
                <a:srgbClr val="000000"/>
              </a:solidFill>
            </a:ln>
          </c:spPr>
          <c:invertIfNegative val="1"/>
          <c:cat>
            <c:strRef>
              <c:f>'Conjugation 2'!$N$3:$N$4</c:f>
              <c:strCache>
                <c:ptCount val="2"/>
                <c:pt idx="0">
                  <c:v>Detailed Analysis</c:v>
                </c:pt>
                <c:pt idx="1">
                  <c:v>Streamlined Analysis</c:v>
                </c:pt>
              </c:strCache>
            </c:strRef>
          </c:cat>
          <c:val>
            <c:numRef>
              <c:f>'Conjugation 2'!$P$3:$P$4</c:f>
              <c:numCache>
                <c:formatCode>General</c:formatCode>
                <c:ptCount val="2"/>
                <c:pt idx="0">
                  <c:v>2932</c:v>
                </c:pt>
                <c:pt idx="1">
                  <c:v>296</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C01B-4EFA-B0BE-73C6299364D9}"/>
            </c:ext>
          </c:extLst>
        </c:ser>
        <c:dLbls>
          <c:showLegendKey val="0"/>
          <c:showVal val="0"/>
          <c:showCatName val="0"/>
          <c:showSerName val="0"/>
          <c:showPercent val="0"/>
          <c:showBubbleSize val="0"/>
        </c:dLbls>
        <c:gapWidth val="150"/>
        <c:axId val="1245260"/>
        <c:axId val="237923083"/>
      </c:barChart>
      <c:catAx>
        <c:axId val="1245260"/>
        <c:scaling>
          <c:orientation val="maxMin"/>
        </c:scaling>
        <c:delete val="0"/>
        <c:axPos val="l"/>
        <c:title>
          <c:tx>
            <c:rich>
              <a:bodyPr/>
              <a:lstStyle/>
              <a:p>
                <a:pPr lvl="0">
                  <a:defRPr b="0">
                    <a:solidFill>
                      <a:srgbClr val="000000"/>
                    </a:solidFill>
                    <a:latin typeface="+mn-lt"/>
                  </a:defRPr>
                </a:pPr>
                <a:r>
                  <a:rPr lang="en-ZA" b="0">
                    <a:solidFill>
                      <a:srgbClr val="000000"/>
                    </a:solidFill>
                    <a:latin typeface="+mn-lt"/>
                  </a:rPr>
                  <a:t>Analysis Type</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237923083"/>
        <c:crosses val="autoZero"/>
        <c:auto val="1"/>
        <c:lblAlgn val="ctr"/>
        <c:lblOffset val="100"/>
        <c:noMultiLvlLbl val="1"/>
      </c:catAx>
      <c:valAx>
        <c:axId val="237923083"/>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ZA"/>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US"/>
          </a:p>
        </c:txPr>
        <c:crossAx val="1245260"/>
        <c:crosses val="max"/>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ZA"/>
              <a:t>Batch Record Analysis Effort Hours (hrs) Distribution</a:t>
            </a:r>
          </a:p>
        </c:rich>
      </c:tx>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Dashboard!$D$5</c:f>
              <c:strCache>
                <c:ptCount val="1"/>
                <c:pt idx="0">
                  <c:v>Effort Hours (hrs)</c:v>
                </c:pt>
              </c:strCache>
            </c:strRef>
          </c:tx>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1A38-4C7B-8FF8-3F10AD51DD97}"/>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1A38-4C7B-8FF8-3F10AD51DD97}"/>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1A38-4C7B-8FF8-3F10AD51DD97}"/>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1A38-4C7B-8FF8-3F10AD51DD97}"/>
              </c:ext>
            </c:extLst>
          </c:dPt>
          <c:dPt>
            <c:idx val="4"/>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9-1A38-4C7B-8FF8-3F10AD51DD97}"/>
              </c:ext>
            </c:extLst>
          </c:dPt>
          <c:dPt>
            <c:idx val="5"/>
            <c:bubble3D val="0"/>
            <c:spPr>
              <a:solidFill>
                <a:schemeClr val="accent6"/>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B-1A38-4C7B-8FF8-3F10AD51DD97}"/>
              </c:ext>
            </c:extLst>
          </c:dPt>
          <c:dPt>
            <c:idx val="6"/>
            <c:bubble3D val="0"/>
            <c:spPr>
              <a:solidFill>
                <a:schemeClr val="accent1">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D-1A38-4C7B-8FF8-3F10AD51DD97}"/>
              </c:ext>
            </c:extLst>
          </c:dPt>
          <c:dLbls>
            <c:dLbl>
              <c:idx val="0"/>
              <c:layout>
                <c:manualLayout>
                  <c:x val="7.2387576552930882E-3"/>
                  <c:y val="-1.9468698488160678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1A38-4C7B-8FF8-3F10AD51DD97}"/>
                </c:ext>
              </c:extLst>
            </c:dLbl>
            <c:dLbl>
              <c:idx val="1"/>
              <c:layout>
                <c:manualLayout>
                  <c:x val="2.17633420822398E-2"/>
                  <c:y val="-1.7867294890025538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1A38-4C7B-8FF8-3F10AD51DD97}"/>
                </c:ext>
              </c:extLst>
            </c:dLbl>
            <c:dLbl>
              <c:idx val="2"/>
              <c:layout>
                <c:manualLayout>
                  <c:x val="2.8367191601049786E-2"/>
                  <c:y val="3.7543420280012167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1A38-4C7B-8FF8-3F10AD51DD97}"/>
                </c:ext>
              </c:extLst>
            </c:dLbl>
            <c:dLbl>
              <c:idx val="3"/>
              <c:layout>
                <c:manualLayout>
                  <c:x val="-1.429063867016625E-2"/>
                  <c:y val="-1.5274034141958671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1A38-4C7B-8FF8-3F10AD51DD97}"/>
                </c:ext>
              </c:extLst>
            </c:dLbl>
            <c:dLbl>
              <c:idx val="4"/>
              <c:layout>
                <c:manualLayout>
                  <c:x val="-5.2053805774278213E-2"/>
                  <c:y val="-1.3093363329583801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1A38-4C7B-8FF8-3F10AD51DD97}"/>
                </c:ext>
              </c:extLst>
            </c:dLbl>
            <c:dLbl>
              <c:idx val="5"/>
              <c:layout>
                <c:manualLayout>
                  <c:x val="-4.5233595800524933E-2"/>
                  <c:y val="8.198880800277324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B-1A38-4C7B-8FF8-3F10AD51DD97}"/>
                </c:ext>
              </c:extLst>
            </c:dLbl>
            <c:dLbl>
              <c:idx val="6"/>
              <c:layout>
                <c:manualLayout>
                  <c:x val="-1.3713123359580052E-2"/>
                  <c:y val="-4.107788413240814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6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D-1A38-4C7B-8FF8-3F10AD51DD97}"/>
                </c:ext>
              </c:extLst>
            </c:dLbl>
            <c:spPr>
              <a:noFill/>
              <a:ln>
                <a:noFill/>
              </a:ln>
              <a:effectLst/>
            </c:sp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Dashboard!$B$6:$B$11</c:f>
              <c:strCache>
                <c:ptCount val="6"/>
                <c:pt idx="0">
                  <c:v>Virus Inactivation</c:v>
                </c:pt>
                <c:pt idx="1">
                  <c:v>Virus Filtration</c:v>
                </c:pt>
                <c:pt idx="2">
                  <c:v>Chromatography 1</c:v>
                </c:pt>
                <c:pt idx="3">
                  <c:v>Chromatography 2</c:v>
                </c:pt>
                <c:pt idx="4">
                  <c:v>Conjugation 1</c:v>
                </c:pt>
                <c:pt idx="5">
                  <c:v>Conjugation 2</c:v>
                </c:pt>
              </c:strCache>
            </c:strRef>
          </c:cat>
          <c:val>
            <c:numRef>
              <c:f>Dashboard!$D$6:$D$11</c:f>
              <c:numCache>
                <c:formatCode>General</c:formatCode>
                <c:ptCount val="6"/>
                <c:pt idx="0">
                  <c:v>632</c:v>
                </c:pt>
                <c:pt idx="1">
                  <c:v>1092</c:v>
                </c:pt>
                <c:pt idx="2">
                  <c:v>1520</c:v>
                </c:pt>
                <c:pt idx="3">
                  <c:v>1784</c:v>
                </c:pt>
                <c:pt idx="4">
                  <c:v>1256</c:v>
                </c:pt>
                <c:pt idx="5">
                  <c:v>296</c:v>
                </c:pt>
              </c:numCache>
            </c:numRef>
          </c:val>
          <c:extLst>
            <c:ext xmlns:c16="http://schemas.microsoft.com/office/drawing/2014/chart" uri="{C3380CC4-5D6E-409C-BE32-E72D297353CC}">
              <c16:uniqueId val="{0000000E-1A38-4C7B-8FF8-3F10AD51DD97}"/>
            </c:ext>
          </c:extLst>
        </c:ser>
        <c:dLbls>
          <c:showLegendKey val="0"/>
          <c:showVal val="0"/>
          <c:showCatName val="1"/>
          <c:showSerName val="0"/>
          <c:showPercent val="1"/>
          <c:showBubbleSize val="0"/>
          <c:showLeaderLines val="1"/>
        </c:dLbls>
        <c:firstSliceAng val="0"/>
      </c:pieChart>
      <c:spPr>
        <a:noFill/>
        <a:ln>
          <a:noFill/>
        </a:ln>
        <a:effectLst/>
      </c:spPr>
    </c:plotArea>
    <c:plotVisOnly val="1"/>
    <c:dispBlanksAs val="zero"/>
    <c:showDLblsOverMax val="1"/>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9</xdr:col>
      <xdr:colOff>790575</xdr:colOff>
      <xdr:row>155</xdr:row>
      <xdr:rowOff>85725</xdr:rowOff>
    </xdr:from>
    <xdr:ext cx="5715000" cy="3533775"/>
    <xdr:graphicFrame macro="">
      <xdr:nvGraphicFramePr>
        <xdr:cNvPr id="2" name="Chart 1" title="Chart">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10</xdr:col>
      <xdr:colOff>28575</xdr:colOff>
      <xdr:row>5</xdr:row>
      <xdr:rowOff>95250</xdr:rowOff>
    </xdr:from>
    <xdr:ext cx="5715000" cy="3533775"/>
    <xdr:graphicFrame macro="">
      <xdr:nvGraphicFramePr>
        <xdr:cNvPr id="3" name="Chart 2" title="Chart">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9</xdr:col>
      <xdr:colOff>819150</xdr:colOff>
      <xdr:row>25</xdr:row>
      <xdr:rowOff>95250</xdr:rowOff>
    </xdr:from>
    <xdr:ext cx="5715000" cy="3533775"/>
    <xdr:graphicFrame macro="">
      <xdr:nvGraphicFramePr>
        <xdr:cNvPr id="4" name="Chart 3" title="Chart">
          <a:extLst>
            <a:ext uri="{FF2B5EF4-FFF2-40B4-BE49-F238E27FC236}">
              <a16:creationId xmlns:a16="http://schemas.microsoft.com/office/drawing/2014/main" id="{00000000-0008-0000-00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10</xdr:col>
      <xdr:colOff>19050</xdr:colOff>
      <xdr:row>51</xdr:row>
      <xdr:rowOff>57150</xdr:rowOff>
    </xdr:from>
    <xdr:ext cx="5715000" cy="3533775"/>
    <xdr:graphicFrame macro="">
      <xdr:nvGraphicFramePr>
        <xdr:cNvPr id="5" name="Chart 4" title="Chart">
          <a:extLst>
            <a:ext uri="{FF2B5EF4-FFF2-40B4-BE49-F238E27FC236}">
              <a16:creationId xmlns:a16="http://schemas.microsoft.com/office/drawing/2014/main" id="{00000000-0008-0000-00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oneCellAnchor>
    <xdr:from>
      <xdr:col>10</xdr:col>
      <xdr:colOff>0</xdr:colOff>
      <xdr:row>77</xdr:row>
      <xdr:rowOff>76200</xdr:rowOff>
    </xdr:from>
    <xdr:ext cx="5715000" cy="3533775"/>
    <xdr:graphicFrame macro="">
      <xdr:nvGraphicFramePr>
        <xdr:cNvPr id="6" name="Chart 5" title="Chart">
          <a:extLst>
            <a:ext uri="{FF2B5EF4-FFF2-40B4-BE49-F238E27FC236}">
              <a16:creationId xmlns:a16="http://schemas.microsoft.com/office/drawing/2014/main" id="{00000000-0008-0000-00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fLocksWithSheet="0"/>
  </xdr:oneCellAnchor>
  <xdr:oneCellAnchor>
    <xdr:from>
      <xdr:col>10</xdr:col>
      <xdr:colOff>57150</xdr:colOff>
      <xdr:row>103</xdr:row>
      <xdr:rowOff>85725</xdr:rowOff>
    </xdr:from>
    <xdr:ext cx="5715000" cy="3533775"/>
    <xdr:graphicFrame macro="">
      <xdr:nvGraphicFramePr>
        <xdr:cNvPr id="7" name="Chart 6" title="Chart">
          <a:extLst>
            <a:ext uri="{FF2B5EF4-FFF2-40B4-BE49-F238E27FC236}">
              <a16:creationId xmlns:a16="http://schemas.microsoft.com/office/drawing/2014/main" id="{00000000-0008-0000-00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fLocksWithSheet="0"/>
  </xdr:oneCellAnchor>
  <xdr:oneCellAnchor>
    <xdr:from>
      <xdr:col>9</xdr:col>
      <xdr:colOff>800100</xdr:colOff>
      <xdr:row>129</xdr:row>
      <xdr:rowOff>114300</xdr:rowOff>
    </xdr:from>
    <xdr:ext cx="5715000" cy="3533775"/>
    <xdr:graphicFrame macro="">
      <xdr:nvGraphicFramePr>
        <xdr:cNvPr id="8" name="Chart 7" title="Chart">
          <a:extLst>
            <a:ext uri="{FF2B5EF4-FFF2-40B4-BE49-F238E27FC236}">
              <a16:creationId xmlns:a16="http://schemas.microsoft.com/office/drawing/2014/main" id="{00000000-0008-0000-00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fLocksWithSheet="0"/>
  </xdr:oneCellAnchor>
  <xdr:oneCellAnchor>
    <xdr:from>
      <xdr:col>1</xdr:col>
      <xdr:colOff>142875</xdr:colOff>
      <xdr:row>16</xdr:row>
      <xdr:rowOff>76200</xdr:rowOff>
    </xdr:from>
    <xdr:ext cx="5715000" cy="3533775"/>
    <xdr:graphicFrame macro="">
      <xdr:nvGraphicFramePr>
        <xdr:cNvPr id="9" name="Chart 8" title="Chart">
          <a:extLst>
            <a:ext uri="{FF2B5EF4-FFF2-40B4-BE49-F238E27FC236}">
              <a16:creationId xmlns:a16="http://schemas.microsoft.com/office/drawing/2014/main" id="{00000000-0008-0000-00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fLocksWithSheet="0"/>
  </xdr:oneCellAnchor>
</xdr:wsDr>
</file>

<file path=xl/persons/person.xml><?xml version="1.0" encoding="utf-8"?>
<x18tc:personList xmlns:x18tc="http://schemas.microsoft.com/office/spreadsheetml/2018/threadedcomment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3" displayName="Table3" ref="B5:E13" totalsRowCount="1" headerRowDxfId="244" dataDxfId="243" totalsRowDxfId="242">
  <tableColumns count="4">
    <tableColumn id="1" xr3:uid="{00000000-0010-0000-0000-000001000000}" name="Description" dataDxfId="241" totalsRowDxfId="240"/>
    <tableColumn id="2" xr3:uid="{00000000-0010-0000-0000-000002000000}" name="Steps" totalsRowFunction="custom" dataDxfId="239" totalsRowDxfId="238">
      <totalsRowFormula>SUM(Table3[Steps])</totalsRowFormula>
    </tableColumn>
    <tableColumn id="3" xr3:uid="{00000000-0010-0000-0000-000003000000}" name="Effort Hours (hrs)" totalsRowFunction="custom" dataDxfId="237" totalsRowDxfId="236">
      <totalsRowFormula>SUM(Table3[Effort Hours (hrs)])</totalsRowFormula>
    </tableColumn>
    <tableColumn id="4" xr3:uid="{00000000-0010-0000-0000-000004000000}" name="Initial Analysis" dataDxfId="235" totalsRowDxfId="234"/>
  </tableColumns>
  <tableStyleInfo name="Dashboard-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Analysis_Summary_2" displayName="Analysis_Summary_2" ref="N2:P4" headerRowDxfId="233" dataDxfId="232" totalsRowDxfId="231">
  <tableColumns count="3">
    <tableColumn id="1" xr3:uid="{00000000-0010-0000-0400-000001000000}" name="Analysis Type" dataDxfId="230"/>
    <tableColumn id="2" xr3:uid="{00000000-0010-0000-0400-000002000000}" name="Total Steps" dataDxfId="229"/>
    <tableColumn id="3" xr3:uid="{00000000-0010-0000-0400-000003000000}" name="Effort Hours (hrs)" dataDxfId="228"/>
  </tableColumns>
  <tableStyleInfo name="Virus Inactivation-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Detailed_Analysis_2" displayName="Detailed_Analysis_2" ref="A6:E87" totalsRowCount="1" headerRowDxfId="227" dataDxfId="226" totalsRowDxfId="225">
  <tableColumns count="5">
    <tableColumn id="1" xr3:uid="{00000000-0010-0000-0500-000001000000}" name="Step Num" totalsRowFunction="custom" dataDxfId="224" totalsRowDxfId="223">
      <totalsRowFormula>COUNTA(Detailed_Analysis_2[Step Num])</totalsRowFormula>
    </tableColumn>
    <tableColumn id="2" xr3:uid="{00000000-0010-0000-0500-000002000000}" name="Title" dataDxfId="222" totalsRowDxfId="221"/>
    <tableColumn id="3" xr3:uid="{00000000-0010-0000-0500-000003000000}" name="Brief Description" dataDxfId="220" totalsRowDxfId="219"/>
    <tableColumn id="4" xr3:uid="{00000000-0010-0000-0500-000004000000}" name="Complexity" dataDxfId="218" totalsRowDxfId="217"/>
    <tableColumn id="5" xr3:uid="{00000000-0010-0000-0500-000005000000}" name="Effort Hours (hrs)" totalsRowFunction="custom" dataDxfId="216" totalsRowDxfId="215">
      <totalsRowFormula>SUM(Detailed_Analysis_2[Effort Hours (hrs)])</totalsRowFormula>
    </tableColumn>
  </tableColumns>
  <tableStyleInfo name="Virus Inactivation-style 2"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Streamlined_Analysis_2" displayName="Streamlined_Analysis_2" ref="G6:K18" totalsRowCount="1" headerRowDxfId="214" dataDxfId="213" totalsRowDxfId="212">
  <tableColumns count="5">
    <tableColumn id="1" xr3:uid="{00000000-0010-0000-0600-000001000000}" name="Step Num" totalsRowFunction="custom" dataDxfId="211" totalsRowDxfId="210">
      <totalsRowFormula>COUNTA(Streamlined_Analysis_2[Step Num])</totalsRowFormula>
    </tableColumn>
    <tableColumn id="2" xr3:uid="{00000000-0010-0000-0600-000002000000}" name="Title" dataDxfId="209" totalsRowDxfId="208"/>
    <tableColumn id="3" xr3:uid="{00000000-0010-0000-0600-000003000000}" name="Brief Description" dataDxfId="207" totalsRowDxfId="206"/>
    <tableColumn id="4" xr3:uid="{00000000-0010-0000-0600-000004000000}" name="Complexity" dataDxfId="205" totalsRowDxfId="204"/>
    <tableColumn id="5" xr3:uid="{00000000-0010-0000-0600-000005000000}" name="Effort Hours (hrs)" totalsRowFunction="custom" dataDxfId="203" totalsRowDxfId="202">
      <totalsRowFormula>SUM(Streamlined_Analysis_2[Effort Hours (hrs)])</totalsRowFormula>
    </tableColumn>
  </tableColumns>
  <tableStyleInfo name="Virus Inactivation-style 3"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Analysis_Summary_3" displayName="Analysis_Summary_3" ref="N2:P4" headerRowDxfId="201" dataDxfId="200" totalsRowDxfId="199">
  <tableColumns count="3">
    <tableColumn id="1" xr3:uid="{00000000-0010-0000-0700-000001000000}" name="Analysis Type" dataDxfId="198"/>
    <tableColumn id="2" xr3:uid="{00000000-0010-0000-0700-000002000000}" name="Total Steps" dataDxfId="197"/>
    <tableColumn id="3" xr3:uid="{00000000-0010-0000-0700-000003000000}" name="Effort Hours (hrs)" dataDxfId="196"/>
  </tableColumns>
  <tableStyleInfo name="Virus Filtration-style"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Detailed_Analysis_3" displayName="Detailed_Analysis_3" ref="A6:E254" totalsRowCount="1" headerRowDxfId="195" dataDxfId="194" totalsRowDxfId="193">
  <tableColumns count="5">
    <tableColumn id="1" xr3:uid="{00000000-0010-0000-0800-000001000000}" name="Step Num" totalsRowFunction="custom" dataDxfId="192" totalsRowDxfId="191">
      <totalsRowFormula>COUNTA(Detailed_Analysis_3[Step Num])</totalsRowFormula>
    </tableColumn>
    <tableColumn id="2" xr3:uid="{00000000-0010-0000-0800-000002000000}" name="Title" dataDxfId="190" totalsRowDxfId="189"/>
    <tableColumn id="3" xr3:uid="{00000000-0010-0000-0800-000003000000}" name="Brief Description" dataDxfId="188" totalsRowDxfId="187"/>
    <tableColumn id="4" xr3:uid="{00000000-0010-0000-0800-000004000000}" name="Complexity" dataDxfId="186" totalsRowDxfId="185"/>
    <tableColumn id="5" xr3:uid="{00000000-0010-0000-0800-000005000000}" name="Effort Hours (hrs)" totalsRowFunction="custom" dataDxfId="184" totalsRowDxfId="183">
      <totalsRowFormula>SUM(Detailed_Analysis_3[Effort Hours (hrs)])</totalsRowFormula>
    </tableColumn>
  </tableColumns>
  <tableStyleInfo name="Virus Filtration-style 2" showFirstColumn="1" showLastColumn="1"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Streamlined_Analysis_3" displayName="Streamlined_Analysis_3" ref="G6:K28" totalsRowCount="1" headerRowDxfId="182" dataDxfId="181" totalsRowDxfId="180">
  <tableColumns count="5">
    <tableColumn id="1" xr3:uid="{00000000-0010-0000-0900-000001000000}" name="Step Num" totalsRowFunction="custom" dataDxfId="179" totalsRowDxfId="178">
      <totalsRowFormula>COUNTA(Streamlined_Analysis_3[Step Num])</totalsRowFormula>
    </tableColumn>
    <tableColumn id="2" xr3:uid="{00000000-0010-0000-0900-000002000000}" name="Title" dataDxfId="177" totalsRowDxfId="176"/>
    <tableColumn id="3" xr3:uid="{00000000-0010-0000-0900-000003000000}" name="Brief Description" dataDxfId="175" totalsRowDxfId="174"/>
    <tableColumn id="4" xr3:uid="{00000000-0010-0000-0900-000004000000}" name="Complexity" dataDxfId="173" totalsRowDxfId="172"/>
    <tableColumn id="5" xr3:uid="{00000000-0010-0000-0900-000005000000}" name="Effort Hours (hrs)" totalsRowFunction="custom" dataDxfId="171" totalsRowDxfId="170">
      <totalsRowFormula>SUM(Streamlined_Analysis_3[Effort Hours (hrs)])</totalsRowFormula>
    </tableColumn>
  </tableColumns>
  <tableStyleInfo name="Virus Filtration-style 3" showFirstColumn="1" showLastColumn="1"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Analysis_Summary_4" displayName="Analysis_Summary_4" ref="N2:P4" headerRowDxfId="169" dataDxfId="168" totalsRowDxfId="167">
  <tableColumns count="3">
    <tableColumn id="1" xr3:uid="{00000000-0010-0000-0A00-000001000000}" name="Analysis Type" dataDxfId="166"/>
    <tableColumn id="2" xr3:uid="{00000000-0010-0000-0A00-000002000000}" name="Total Steps" dataDxfId="165"/>
    <tableColumn id="3" xr3:uid="{00000000-0010-0000-0A00-000003000000}" name="Effort Hours (hrs)" dataDxfId="164"/>
  </tableColumns>
  <tableStyleInfo name="Chromatography 1-style" showFirstColumn="1" showLastColumn="1"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Detailed_Analysis_4" displayName="Detailed_Analysis_4" ref="A6:E209" totalsRowCount="1" headerRowDxfId="163" dataDxfId="162" totalsRowDxfId="161">
  <tableColumns count="5">
    <tableColumn id="1" xr3:uid="{00000000-0010-0000-0B00-000001000000}" name="Step Num" totalsRowFunction="custom" dataDxfId="160" totalsRowDxfId="159">
      <totalsRowFormula>COUNTA(Detailed_Analysis_4[Step Num])</totalsRowFormula>
    </tableColumn>
    <tableColumn id="2" xr3:uid="{00000000-0010-0000-0B00-000002000000}" name="Title" dataDxfId="158" totalsRowDxfId="157"/>
    <tableColumn id="3" xr3:uid="{00000000-0010-0000-0B00-000003000000}" name="Brief Description" dataDxfId="156" totalsRowDxfId="155"/>
    <tableColumn id="4" xr3:uid="{00000000-0010-0000-0B00-000004000000}" name="Complexity" dataDxfId="154" totalsRowDxfId="153"/>
    <tableColumn id="5" xr3:uid="{00000000-0010-0000-0B00-000005000000}" name="Effort Hours (hrs)" totalsRowFunction="custom" dataDxfId="152" totalsRowDxfId="151">
      <totalsRowFormula>SUM(Detailed_Analysis_4[Effort Hours (hrs)])</totalsRowFormula>
    </tableColumn>
  </tableColumns>
  <tableStyleInfo name="Chromatography 1-style 2" showFirstColumn="1" showLastColumn="1"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Streamlined_Analysis_4" displayName="Streamlined_Analysis_4" ref="G6:K36" totalsRowCount="1" headerRowDxfId="150" dataDxfId="149" totalsRowDxfId="148">
  <tableColumns count="5">
    <tableColumn id="1" xr3:uid="{00000000-0010-0000-0C00-000001000000}" name="Step Num" totalsRowFunction="custom" dataDxfId="147" totalsRowDxfId="146">
      <totalsRowFormula>COUNTA(Streamlined_Analysis_4[Step Num])</totalsRowFormula>
    </tableColumn>
    <tableColumn id="2" xr3:uid="{00000000-0010-0000-0C00-000002000000}" name="Title" dataDxfId="145" totalsRowDxfId="144"/>
    <tableColumn id="3" xr3:uid="{00000000-0010-0000-0C00-000003000000}" name="Brief Description" dataDxfId="143" totalsRowDxfId="142"/>
    <tableColumn id="4" xr3:uid="{00000000-0010-0000-0C00-000004000000}" name="Complexity" dataDxfId="141" totalsRowDxfId="140"/>
    <tableColumn id="5" xr3:uid="{00000000-0010-0000-0C00-000005000000}" name="Effort Hours (hrs)" totalsRowFunction="custom" dataDxfId="139" totalsRowDxfId="138">
      <totalsRowFormula>SUM(Streamlined_Analysis_4[Effort Hours (hrs)])</totalsRowFormula>
    </tableColumn>
  </tableColumns>
  <tableStyleInfo name="Chromatography 1-style 3" showFirstColumn="1" showLastColumn="1"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Analysis_Summary_5" displayName="Analysis_Summary_5" ref="N2:P4" headerRowDxfId="137" dataDxfId="136" totalsRowDxfId="135">
  <tableColumns count="3">
    <tableColumn id="1" xr3:uid="{00000000-0010-0000-0D00-000001000000}" name="Analysis Type" dataDxfId="134"/>
    <tableColumn id="2" xr3:uid="{00000000-0010-0000-0D00-000002000000}" name="Total Steps" dataDxfId="133"/>
    <tableColumn id="3" xr3:uid="{00000000-0010-0000-0D00-000003000000}" name="Effort Hours (hrs)" dataDxfId="132"/>
  </tableColumns>
  <tableStyleInfo name="Chromatography 2-style" showFirstColumn="1" showLastColumn="1"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Detailed_Analysis_5" displayName="Detailed_Analysis_5" ref="A6:E223" totalsRowCount="1" headerRowDxfId="131" dataDxfId="130" totalsRowDxfId="129">
  <tableColumns count="5">
    <tableColumn id="1" xr3:uid="{00000000-0010-0000-0E00-000001000000}" name="Step Num" totalsRowFunction="custom" dataDxfId="128" totalsRowDxfId="127">
      <totalsRowFormula>COUNTA(Detailed_Analysis_5[Step Num])</totalsRowFormula>
    </tableColumn>
    <tableColumn id="2" xr3:uid="{00000000-0010-0000-0E00-000002000000}" name="Title" dataDxfId="126" totalsRowDxfId="125"/>
    <tableColumn id="3" xr3:uid="{00000000-0010-0000-0E00-000003000000}" name="Brief Description" dataDxfId="124" totalsRowDxfId="123"/>
    <tableColumn id="4" xr3:uid="{00000000-0010-0000-0E00-000004000000}" name="Complexity" dataDxfId="122" totalsRowDxfId="121"/>
    <tableColumn id="5" xr3:uid="{00000000-0010-0000-0E00-000005000000}" name="Effort Hours (hrs)" totalsRowFunction="custom" dataDxfId="120" totalsRowDxfId="119">
      <totalsRowFormula>SUM(Detailed_Analysis_5[Effort Hours (hrs)])</totalsRowFormula>
    </tableColumn>
  </tableColumns>
  <tableStyleInfo name="Chromatography 2-style 2" showFirstColumn="1" showLastColumn="1"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F000000}" name="Streamlined_Analysis_5" displayName="Streamlined_Analysis_5" ref="G6:K36" totalsRowCount="1" headerRowDxfId="118" dataDxfId="117" totalsRowDxfId="116">
  <tableColumns count="5">
    <tableColumn id="1" xr3:uid="{00000000-0010-0000-0F00-000001000000}" name="Step Num" totalsRowFunction="custom" dataDxfId="115" totalsRowDxfId="114">
      <totalsRowFormula>COUNTA(Streamlined_Analysis_5[Step Num])</totalsRowFormula>
    </tableColumn>
    <tableColumn id="2" xr3:uid="{00000000-0010-0000-0F00-000002000000}" name="Title" dataDxfId="113" totalsRowDxfId="112"/>
    <tableColumn id="3" xr3:uid="{00000000-0010-0000-0F00-000003000000}" name="Brief Description" dataDxfId="111" totalsRowDxfId="110"/>
    <tableColumn id="4" xr3:uid="{00000000-0010-0000-0F00-000004000000}" name="Complexity" dataDxfId="109" totalsRowDxfId="108"/>
    <tableColumn id="5" xr3:uid="{00000000-0010-0000-0F00-000005000000}" name="Effort Hours (hrs)" totalsRowFunction="custom" dataDxfId="107" totalsRowDxfId="106">
      <totalsRowFormula>SUM(Streamlined_Analysis_5[Effort Hours (hrs)])</totalsRowFormula>
    </tableColumn>
  </tableColumns>
  <tableStyleInfo name="Chromatography 2-style 3" showFirstColumn="1" showLastColumn="1"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0000000}" name="Analysis_Summary_6" displayName="Analysis_Summary_6" ref="N2:P4" headerRowDxfId="105" dataDxfId="104" totalsRowDxfId="103">
  <tableColumns count="3">
    <tableColumn id="1" xr3:uid="{00000000-0010-0000-1000-000001000000}" name="Analysis Type" dataDxfId="102"/>
    <tableColumn id="2" xr3:uid="{00000000-0010-0000-1000-000002000000}" name="Total Steps" dataDxfId="101"/>
    <tableColumn id="3" xr3:uid="{00000000-0010-0000-1000-000003000000}" name="Effort Hours (hrs)" dataDxfId="100"/>
  </tableColumns>
  <tableStyleInfo name="Conjugation 1-style" showFirstColumn="1" showLastColumn="1"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1000000}" name="Detailed_Analysis_6" displayName="Detailed_Analysis_6" ref="A6:E393" totalsRowCount="1" headerRowDxfId="99" dataDxfId="98" totalsRowDxfId="97">
  <tableColumns count="5">
    <tableColumn id="1" xr3:uid="{00000000-0010-0000-1100-000001000000}" name="Step Num" totalsRowFunction="custom" dataDxfId="96" totalsRowDxfId="95">
      <totalsRowFormula>COUNTA(Detailed_Analysis_6[Step Num])</totalsRowFormula>
    </tableColumn>
    <tableColumn id="2" xr3:uid="{00000000-0010-0000-1100-000002000000}" name="Title" dataDxfId="94" totalsRowDxfId="93"/>
    <tableColumn id="3" xr3:uid="{00000000-0010-0000-1100-000003000000}" name="Brief Description" dataDxfId="92" totalsRowDxfId="91"/>
    <tableColumn id="4" xr3:uid="{00000000-0010-0000-1100-000004000000}" name="Complexity" dataDxfId="90" totalsRowDxfId="89"/>
    <tableColumn id="5" xr3:uid="{00000000-0010-0000-1100-000005000000}" name="Effort Hours (hrs)" totalsRowFunction="custom" dataDxfId="88" totalsRowDxfId="87">
      <totalsRowFormula>SUM(Detailed_Analysis_6[Effort Hours (hrs)])</totalsRowFormula>
    </tableColumn>
  </tableColumns>
  <tableStyleInfo name="Conjugation 1-style 2" showFirstColumn="1" showLastColumn="1"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Streamlined_Analysis_6" displayName="Streamlined_Analysis_6" ref="G6:K30" totalsRowCount="1" headerRowDxfId="86" dataDxfId="85" totalsRowDxfId="84">
  <tableColumns count="5">
    <tableColumn id="1" xr3:uid="{00000000-0010-0000-1200-000001000000}" name="Step Num" totalsRowFunction="custom" dataDxfId="83" totalsRowDxfId="82">
      <totalsRowFormula>COUNTA(Streamlined_Analysis_6[Step Num])</totalsRowFormula>
    </tableColumn>
    <tableColumn id="2" xr3:uid="{00000000-0010-0000-1200-000002000000}" name="Title" dataDxfId="81" totalsRowDxfId="80"/>
    <tableColumn id="3" xr3:uid="{00000000-0010-0000-1200-000003000000}" name="Brief Description" dataDxfId="79" totalsRowDxfId="78"/>
    <tableColumn id="4" xr3:uid="{00000000-0010-0000-1200-000004000000}" name="Complexity" dataDxfId="77" totalsRowDxfId="76"/>
    <tableColumn id="5" xr3:uid="{00000000-0010-0000-1200-000005000000}" name="Effort Hours (hrs)" totalsRowFunction="custom" dataDxfId="75" totalsRowDxfId="74">
      <totalsRowFormula>SUM(Streamlined_Analysis_6[Effort Hours (hrs)])</totalsRowFormula>
    </tableColumn>
  </tableColumns>
  <tableStyleInfo name="Conjugation 1-style 3" showFirstColumn="1" showLastColumn="1"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3000000}" name="Analysis_Summary_7" displayName="Analysis_Summary_7" ref="N2:P4" headerRowDxfId="73" dataDxfId="72" totalsRowDxfId="71">
  <tableColumns count="3">
    <tableColumn id="1" xr3:uid="{00000000-0010-0000-1300-000001000000}" name="Analysis Type" dataDxfId="70"/>
    <tableColumn id="2" xr3:uid="{00000000-0010-0000-1300-000002000000}" name="Total Steps" dataDxfId="69"/>
    <tableColumn id="3" xr3:uid="{00000000-0010-0000-1300-000003000000}" name="Effort Hours (hrs)" dataDxfId="68"/>
  </tableColumns>
  <tableStyleInfo name="Conjugation 2-style" showFirstColumn="1" showLastColumn="1"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14000000}" name="Detailed_Analysis_7" displayName="Detailed_Analysis_7" ref="A6:E80" totalsRowCount="1" headerRowDxfId="67" dataDxfId="66" totalsRowDxfId="65">
  <tableColumns count="5">
    <tableColumn id="1" xr3:uid="{00000000-0010-0000-1400-000001000000}" name="Step Num" totalsRowFunction="custom" dataDxfId="64" totalsRowDxfId="63">
      <totalsRowFormula>COUNTA(Detailed_Analysis_7[Step Num])</totalsRowFormula>
    </tableColumn>
    <tableColumn id="2" xr3:uid="{00000000-0010-0000-1400-000002000000}" name="Title" dataDxfId="62" totalsRowDxfId="61"/>
    <tableColumn id="3" xr3:uid="{00000000-0010-0000-1400-000003000000}" name="Brief Description" dataDxfId="60" totalsRowDxfId="59"/>
    <tableColumn id="4" xr3:uid="{00000000-0010-0000-1400-000004000000}" name="Complexity" dataDxfId="58" totalsRowDxfId="57"/>
    <tableColumn id="5" xr3:uid="{00000000-0010-0000-1400-000005000000}" name="Effort Hours (hrs)" totalsRowFunction="custom" dataDxfId="56" totalsRowDxfId="55">
      <totalsRowFormula>SUM(Detailed_Analysis_7[Effort Hours (hrs)])</totalsRowFormula>
    </tableColumn>
  </tableColumns>
  <tableStyleInfo name="Conjugation 2-style 2" showFirstColumn="1" showLastColumn="1"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15000000}" name="Streamlined_Analysis_7" displayName="Streamlined_Analysis_7" ref="G6:K15" totalsRowCount="1" headerRowDxfId="54" dataDxfId="53" totalsRowDxfId="52">
  <tableColumns count="5">
    <tableColumn id="1" xr3:uid="{00000000-0010-0000-1500-000001000000}" name="Step Num" totalsRowFunction="custom" dataDxfId="51" totalsRowDxfId="4">
      <totalsRowFormula>COUNTA(Streamlined_Analysis_7[Step Num])</totalsRowFormula>
    </tableColumn>
    <tableColumn id="2" xr3:uid="{00000000-0010-0000-1500-000002000000}" name="Title" dataDxfId="50" totalsRowDxfId="3"/>
    <tableColumn id="3" xr3:uid="{00000000-0010-0000-1500-000003000000}" name="Brief Description" dataDxfId="49" totalsRowDxfId="2"/>
    <tableColumn id="4" xr3:uid="{00000000-0010-0000-1500-000004000000}" name="Complexity" dataDxfId="48" totalsRowDxfId="1"/>
    <tableColumn id="5" xr3:uid="{00000000-0010-0000-1500-000005000000}" name="Effort Hours (hrs)" totalsRowFunction="custom" dataDxfId="47" totalsRowDxfId="0">
      <totalsRowFormula>SUM(Streamlined_Analysis_7[Effort Hours (hrs)])</totalsRowFormula>
    </tableColumn>
  </tableColumns>
  <tableStyleInfo name="Conjugation 2-style 3" showFirstColumn="1" showLastColumn="1"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Analysis_Summary" displayName="Analysis_Summary" ref="N2:P4" headerRowDxfId="276" dataDxfId="275" totalsRowDxfId="274">
  <tableColumns count="3">
    <tableColumn id="1" xr3:uid="{00000000-0010-0000-0100-000001000000}" name="Analysis Type" dataDxfId="273"/>
    <tableColumn id="2" xr3:uid="{00000000-0010-0000-0100-000002000000}" name="Total Steps" dataDxfId="272"/>
    <tableColumn id="3" xr3:uid="{00000000-0010-0000-0100-000003000000}" name="Effort Hours (hrs)" dataDxfId="271"/>
  </tableColumns>
  <tableStyleInfo name="Bulk Formulation-style" showFirstColumn="1" showLastColumn="1"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Detailed_Analysis" displayName="Detailed_Analysis" ref="A6:E165" totalsRowCount="1" headerRowDxfId="270" dataDxfId="269" totalsRowDxfId="268">
  <tableColumns count="5">
    <tableColumn id="1" xr3:uid="{00000000-0010-0000-0200-000001000000}" name="Step Num" totalsRowFunction="custom" dataDxfId="267" totalsRowDxfId="266">
      <totalsRowFormula>COUNTA(Detailed_Analysis[Step Num])</totalsRowFormula>
    </tableColumn>
    <tableColumn id="2" xr3:uid="{00000000-0010-0000-0200-000002000000}" name="Title" dataDxfId="265" totalsRowDxfId="264"/>
    <tableColumn id="3" xr3:uid="{00000000-0010-0000-0200-000003000000}" name="Brief Description" dataDxfId="263" totalsRowDxfId="262"/>
    <tableColumn id="4" xr3:uid="{00000000-0010-0000-0200-000004000000}" name="Complexity" dataDxfId="261" totalsRowDxfId="260"/>
    <tableColumn id="5" xr3:uid="{00000000-0010-0000-0200-000005000000}" name="Effort Hours (hrs)" totalsRowFunction="custom" dataDxfId="259" totalsRowDxfId="258">
      <totalsRowFormula>SUM(Detailed_Analysis[Effort Hours (hrs)])</totalsRowFormula>
    </tableColumn>
  </tableColumns>
  <tableStyleInfo name="Bulk Formulation-style 2" showFirstColumn="1" showLastColumn="1"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Streamlined_Analysis" displayName="Streamlined_Analysis" ref="G6:K24" totalsRowCount="1" headerRowDxfId="257" dataDxfId="256" totalsRowDxfId="255">
  <tableColumns count="5">
    <tableColumn id="1" xr3:uid="{00000000-0010-0000-0300-000001000000}" name="Step Num" totalsRowFunction="custom" dataDxfId="254" totalsRowDxfId="253">
      <totalsRowFormula>COUNTA(Streamlined_Analysis[Step Num])</totalsRowFormula>
    </tableColumn>
    <tableColumn id="2" xr3:uid="{00000000-0010-0000-0300-000002000000}" name="Title" dataDxfId="252" totalsRowDxfId="251"/>
    <tableColumn id="3" xr3:uid="{00000000-0010-0000-0300-000003000000}" name="Brief Description" dataDxfId="250" totalsRowDxfId="249"/>
    <tableColumn id="4" xr3:uid="{00000000-0010-0000-0300-000004000000}" name="Complexity" dataDxfId="248" totalsRowDxfId="247"/>
    <tableColumn id="5" xr3:uid="{00000000-0010-0000-0300-000005000000}" name="Effort Hours (hrs)" totalsRowFunction="custom" dataDxfId="246" totalsRowDxfId="245">
      <totalsRowFormula>SUM(Streamlined_Analysis[Effort Hours (hrs)])</totalsRowFormula>
    </tableColumn>
  </tableColumns>
  <tableStyleInfo name="Bulk Formulation-style 3"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table" Target="../tables/table5.xml"/></Relationships>
</file>

<file path=xl/worksheets/_rels/sheet4.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table" Target="../tables/table9.xml"/><Relationship Id="rId1" Type="http://schemas.openxmlformats.org/officeDocument/2006/relationships/table" Target="../tables/table8.xml"/></Relationships>
</file>

<file path=xl/worksheets/_rels/sheet5.xml.rels><?xml version="1.0" encoding="UTF-8" standalone="yes"?>
<Relationships xmlns="http://schemas.openxmlformats.org/package/2006/relationships"><Relationship Id="rId3" Type="http://schemas.openxmlformats.org/officeDocument/2006/relationships/table" Target="../tables/table13.xml"/><Relationship Id="rId2" Type="http://schemas.openxmlformats.org/officeDocument/2006/relationships/table" Target="../tables/table12.xml"/><Relationship Id="rId1" Type="http://schemas.openxmlformats.org/officeDocument/2006/relationships/table" Target="../tables/table11.xml"/></Relationships>
</file>

<file path=xl/worksheets/_rels/sheet6.xml.rels><?xml version="1.0" encoding="UTF-8" standalone="yes"?>
<Relationships xmlns="http://schemas.openxmlformats.org/package/2006/relationships"><Relationship Id="rId3" Type="http://schemas.openxmlformats.org/officeDocument/2006/relationships/table" Target="../tables/table16.xml"/><Relationship Id="rId2" Type="http://schemas.openxmlformats.org/officeDocument/2006/relationships/table" Target="../tables/table15.xml"/><Relationship Id="rId1" Type="http://schemas.openxmlformats.org/officeDocument/2006/relationships/table" Target="../tables/table14.xml"/></Relationships>
</file>

<file path=xl/worksheets/_rels/sheet7.xml.rels><?xml version="1.0" encoding="UTF-8" standalone="yes"?>
<Relationships xmlns="http://schemas.openxmlformats.org/package/2006/relationships"><Relationship Id="rId3" Type="http://schemas.openxmlformats.org/officeDocument/2006/relationships/table" Target="../tables/table19.xml"/><Relationship Id="rId2" Type="http://schemas.openxmlformats.org/officeDocument/2006/relationships/table" Target="../tables/table18.xml"/><Relationship Id="rId1" Type="http://schemas.openxmlformats.org/officeDocument/2006/relationships/table" Target="../tables/table17.xml"/></Relationships>
</file>

<file path=xl/worksheets/_rels/sheet8.xml.rels><?xml version="1.0" encoding="UTF-8" standalone="yes"?>
<Relationships xmlns="http://schemas.openxmlformats.org/package/2006/relationships"><Relationship Id="rId3" Type="http://schemas.openxmlformats.org/officeDocument/2006/relationships/table" Target="../tables/table22.xml"/><Relationship Id="rId2" Type="http://schemas.openxmlformats.org/officeDocument/2006/relationships/table" Target="../tables/table21.xml"/><Relationship Id="rId1" Type="http://schemas.openxmlformats.org/officeDocument/2006/relationships/table" Target="../tables/table2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A1000"/>
  <sheetViews>
    <sheetView showGridLines="0" tabSelected="1" workbookViewId="0">
      <selection activeCell="E8" sqref="E8"/>
    </sheetView>
  </sheetViews>
  <sheetFormatPr defaultColWidth="12.5703125" defaultRowHeight="15.75" customHeight="1" x14ac:dyDescent="0.2"/>
  <cols>
    <col min="1" max="1" width="12.5703125" style="21"/>
    <col min="2" max="2" width="18.42578125" style="21" customWidth="1"/>
    <col min="3" max="3" width="12.5703125" style="21"/>
    <col min="4" max="4" width="17" style="21" customWidth="1"/>
    <col min="5" max="5" width="17.42578125" style="21" customWidth="1"/>
    <col min="6" max="16384" width="12.5703125" style="21"/>
  </cols>
  <sheetData>
    <row r="1" spans="1:27" ht="12.75" x14ac:dyDescent="0.2">
      <c r="A1" s="20"/>
      <c r="B1" s="25" t="s">
        <v>0</v>
      </c>
      <c r="C1" s="26"/>
      <c r="D1" s="26"/>
      <c r="E1" s="26"/>
      <c r="F1" s="26"/>
      <c r="G1" s="26"/>
      <c r="H1" s="26"/>
      <c r="I1" s="26"/>
      <c r="J1" s="26"/>
      <c r="K1" s="26"/>
      <c r="L1" s="26"/>
      <c r="M1" s="26"/>
      <c r="N1" s="26"/>
      <c r="O1" s="26"/>
      <c r="P1" s="26"/>
      <c r="Q1" s="26"/>
      <c r="R1" s="20"/>
      <c r="S1" s="20"/>
      <c r="T1" s="20"/>
      <c r="U1" s="20"/>
      <c r="V1" s="20"/>
      <c r="W1" s="20"/>
      <c r="X1" s="20"/>
      <c r="Y1" s="20"/>
      <c r="Z1" s="20"/>
      <c r="AA1" s="20"/>
    </row>
    <row r="2" spans="1:27" ht="24.75" customHeight="1" x14ac:dyDescent="0.2">
      <c r="A2" s="20"/>
      <c r="B2" s="26"/>
      <c r="C2" s="26"/>
      <c r="D2" s="26"/>
      <c r="E2" s="26"/>
      <c r="F2" s="26"/>
      <c r="G2" s="26"/>
      <c r="H2" s="26"/>
      <c r="I2" s="26"/>
      <c r="J2" s="26"/>
      <c r="K2" s="26"/>
      <c r="L2" s="26"/>
      <c r="M2" s="26"/>
      <c r="N2" s="26"/>
      <c r="O2" s="26"/>
      <c r="P2" s="26"/>
      <c r="Q2" s="26"/>
      <c r="R2" s="20"/>
      <c r="S2" s="20"/>
      <c r="T2" s="20"/>
      <c r="U2" s="20"/>
      <c r="V2" s="20"/>
      <c r="W2" s="20"/>
      <c r="X2" s="20"/>
      <c r="Y2" s="20"/>
      <c r="Z2" s="20"/>
      <c r="AA2" s="20"/>
    </row>
    <row r="3" spans="1:27" ht="12.75" x14ac:dyDescent="0.2">
      <c r="A3" s="20"/>
      <c r="R3" s="20"/>
      <c r="S3" s="20"/>
      <c r="T3" s="20"/>
      <c r="U3" s="20"/>
      <c r="V3" s="20"/>
      <c r="W3" s="20"/>
      <c r="X3" s="20"/>
      <c r="Y3" s="20"/>
      <c r="Z3" s="20"/>
      <c r="AA3" s="20"/>
    </row>
    <row r="4" spans="1:27" ht="12.75" x14ac:dyDescent="0.2">
      <c r="A4" s="20"/>
      <c r="R4" s="20"/>
      <c r="S4" s="20"/>
      <c r="T4" s="20"/>
      <c r="U4" s="20"/>
      <c r="V4" s="20"/>
      <c r="W4" s="20"/>
      <c r="X4" s="20"/>
      <c r="Y4" s="20"/>
      <c r="Z4" s="20"/>
      <c r="AA4" s="20"/>
    </row>
    <row r="5" spans="1:27" ht="22.5" customHeight="1" x14ac:dyDescent="0.4">
      <c r="A5" s="20"/>
      <c r="B5" s="15" t="s">
        <v>1</v>
      </c>
      <c r="C5" s="15" t="s">
        <v>2</v>
      </c>
      <c r="D5" s="15" t="s">
        <v>3</v>
      </c>
      <c r="E5" s="16" t="s">
        <v>4</v>
      </c>
      <c r="L5" s="27" t="s">
        <v>7</v>
      </c>
      <c r="M5" s="26"/>
      <c r="N5" s="26"/>
      <c r="O5" s="26"/>
      <c r="P5" s="26"/>
      <c r="R5" s="20"/>
      <c r="S5" s="20"/>
      <c r="T5" s="20"/>
      <c r="U5" s="20"/>
      <c r="V5" s="20"/>
      <c r="W5" s="20"/>
      <c r="X5" s="20"/>
      <c r="Y5" s="20"/>
      <c r="Z5" s="20"/>
      <c r="AA5" s="20"/>
    </row>
    <row r="6" spans="1:27" ht="22.5" customHeight="1" x14ac:dyDescent="0.2">
      <c r="A6" s="20"/>
      <c r="B6" s="18" t="s">
        <v>7</v>
      </c>
      <c r="C6" s="18">
        <f>'Virus Inactivation'!O4</f>
        <v>11</v>
      </c>
      <c r="D6" s="18">
        <f>'Virus Inactivation'!P4</f>
        <v>632</v>
      </c>
      <c r="E6" s="3" t="s">
        <v>8</v>
      </c>
      <c r="R6" s="20"/>
      <c r="S6" s="20"/>
      <c r="T6" s="20"/>
      <c r="U6" s="20"/>
      <c r="V6" s="20"/>
      <c r="W6" s="20"/>
      <c r="X6" s="20"/>
      <c r="Y6" s="20"/>
      <c r="Z6" s="20"/>
      <c r="AA6" s="20"/>
    </row>
    <row r="7" spans="1:27" ht="22.5" customHeight="1" x14ac:dyDescent="0.2">
      <c r="A7" s="20"/>
      <c r="B7" s="18" t="s">
        <v>9</v>
      </c>
      <c r="C7" s="18">
        <f>'Virus Filtration'!O4</f>
        <v>21</v>
      </c>
      <c r="D7" s="18">
        <f>'Virus Filtration'!P4</f>
        <v>1092</v>
      </c>
      <c r="E7" s="3"/>
      <c r="R7" s="20"/>
      <c r="S7" s="20"/>
      <c r="T7" s="20"/>
      <c r="U7" s="20"/>
      <c r="V7" s="20"/>
      <c r="W7" s="20"/>
      <c r="X7" s="20"/>
      <c r="Y7" s="20"/>
      <c r="Z7" s="20"/>
      <c r="AA7" s="20"/>
    </row>
    <row r="8" spans="1:27" ht="22.5" customHeight="1" x14ac:dyDescent="0.2">
      <c r="A8" s="20"/>
      <c r="B8" s="18" t="s">
        <v>10</v>
      </c>
      <c r="C8" s="18">
        <f>'Chromatography 1'!O4</f>
        <v>29</v>
      </c>
      <c r="D8" s="18">
        <f>'Chromatography 1'!P4</f>
        <v>1520</v>
      </c>
      <c r="E8" s="3" t="s">
        <v>11</v>
      </c>
      <c r="R8" s="20"/>
      <c r="S8" s="20"/>
      <c r="T8" s="20"/>
      <c r="U8" s="20"/>
      <c r="V8" s="20"/>
      <c r="W8" s="20"/>
      <c r="X8" s="20"/>
      <c r="Y8" s="20"/>
      <c r="Z8" s="20"/>
      <c r="AA8" s="20"/>
    </row>
    <row r="9" spans="1:27" ht="22.5" customHeight="1" x14ac:dyDescent="0.2">
      <c r="A9" s="20"/>
      <c r="B9" s="18" t="s">
        <v>12</v>
      </c>
      <c r="C9" s="18">
        <f>'Chromatography 2'!O4</f>
        <v>29</v>
      </c>
      <c r="D9" s="18">
        <f>'Chromatography 2'!P4</f>
        <v>1784</v>
      </c>
      <c r="E9" s="3"/>
      <c r="R9" s="20"/>
      <c r="S9" s="20"/>
      <c r="T9" s="20"/>
      <c r="U9" s="20"/>
      <c r="V9" s="20"/>
      <c r="W9" s="20"/>
      <c r="X9" s="20"/>
      <c r="Y9" s="20"/>
      <c r="Z9" s="20"/>
      <c r="AA9" s="20"/>
    </row>
    <row r="10" spans="1:27" ht="22.5" customHeight="1" x14ac:dyDescent="0.2">
      <c r="A10" s="20"/>
      <c r="B10" s="18" t="s">
        <v>13</v>
      </c>
      <c r="C10" s="18">
        <f>'Conjugation 1'!O4</f>
        <v>23</v>
      </c>
      <c r="D10" s="18">
        <f>'Conjugation 1'!P4</f>
        <v>1256</v>
      </c>
      <c r="E10" s="3" t="s">
        <v>8</v>
      </c>
      <c r="R10" s="20"/>
      <c r="S10" s="20"/>
      <c r="T10" s="20"/>
      <c r="U10" s="20"/>
      <c r="V10" s="20"/>
      <c r="W10" s="20"/>
      <c r="X10" s="20"/>
      <c r="Y10" s="20"/>
      <c r="Z10" s="20"/>
      <c r="AA10" s="20"/>
    </row>
    <row r="11" spans="1:27" ht="22.5" customHeight="1" x14ac:dyDescent="0.2">
      <c r="A11" s="20"/>
      <c r="B11" s="18" t="s">
        <v>14</v>
      </c>
      <c r="C11" s="18">
        <f>'Conjugation 2'!O4</f>
        <v>8</v>
      </c>
      <c r="D11" s="18">
        <f>'Conjugation 2'!P4</f>
        <v>296</v>
      </c>
      <c r="E11" s="18"/>
      <c r="R11" s="20"/>
      <c r="S11" s="20"/>
      <c r="T11" s="20"/>
      <c r="U11" s="20"/>
      <c r="V11" s="20"/>
      <c r="W11" s="20"/>
      <c r="X11" s="20"/>
      <c r="Y11" s="20"/>
      <c r="Z11" s="20"/>
      <c r="AA11" s="20"/>
    </row>
    <row r="12" spans="1:27" ht="22.5" customHeight="1" x14ac:dyDescent="0.2">
      <c r="A12" s="20"/>
      <c r="B12" s="22" t="s">
        <v>5</v>
      </c>
      <c r="C12" s="23">
        <v>17</v>
      </c>
      <c r="D12" s="23">
        <v>1088</v>
      </c>
      <c r="E12" s="24" t="s">
        <v>6</v>
      </c>
      <c r="R12" s="20"/>
      <c r="S12" s="20"/>
      <c r="T12" s="20"/>
      <c r="U12" s="20"/>
      <c r="V12" s="20"/>
      <c r="W12" s="20"/>
      <c r="X12" s="20"/>
      <c r="Y12" s="20"/>
      <c r="Z12" s="20"/>
      <c r="AA12" s="20"/>
    </row>
    <row r="13" spans="1:27" ht="22.5" customHeight="1" x14ac:dyDescent="0.2">
      <c r="A13" s="20"/>
      <c r="B13" s="18"/>
      <c r="C13" s="19">
        <f>SUM(Table3[Steps])</f>
        <v>138</v>
      </c>
      <c r="D13" s="19">
        <f>SUM(Table3[Effort Hours (hrs)])</f>
        <v>7668</v>
      </c>
      <c r="E13" s="18"/>
      <c r="R13" s="20"/>
      <c r="S13" s="20"/>
      <c r="T13" s="20"/>
      <c r="U13" s="20"/>
      <c r="V13" s="20"/>
      <c r="W13" s="20"/>
      <c r="X13" s="20"/>
      <c r="Y13" s="20"/>
      <c r="Z13" s="20"/>
      <c r="AA13" s="20"/>
    </row>
    <row r="14" spans="1:27" ht="12.75" x14ac:dyDescent="0.2">
      <c r="A14" s="20"/>
      <c r="R14" s="20"/>
      <c r="S14" s="20"/>
      <c r="T14" s="20"/>
      <c r="U14" s="20"/>
      <c r="V14" s="20"/>
      <c r="W14" s="20"/>
      <c r="X14" s="20"/>
      <c r="Y14" s="20"/>
      <c r="Z14" s="20"/>
      <c r="AA14" s="20"/>
    </row>
    <row r="15" spans="1:27" ht="12.75" x14ac:dyDescent="0.2">
      <c r="A15" s="20"/>
      <c r="R15" s="20"/>
      <c r="S15" s="20"/>
      <c r="T15" s="20"/>
      <c r="U15" s="20"/>
      <c r="V15" s="20"/>
      <c r="W15" s="20"/>
      <c r="X15" s="20"/>
      <c r="Y15" s="20"/>
      <c r="Z15" s="20"/>
      <c r="AA15" s="20"/>
    </row>
    <row r="16" spans="1:27" ht="12.75" x14ac:dyDescent="0.2">
      <c r="A16" s="20"/>
      <c r="R16" s="20"/>
      <c r="S16" s="20"/>
      <c r="T16" s="20"/>
      <c r="U16" s="20"/>
      <c r="V16" s="20"/>
      <c r="W16" s="20"/>
      <c r="X16" s="20"/>
      <c r="Y16" s="20"/>
      <c r="Z16" s="20"/>
      <c r="AA16" s="20"/>
    </row>
    <row r="17" spans="1:27" ht="12.75" x14ac:dyDescent="0.2">
      <c r="A17" s="20"/>
      <c r="R17" s="20"/>
      <c r="S17" s="20"/>
      <c r="T17" s="20"/>
      <c r="U17" s="20"/>
      <c r="V17" s="20"/>
      <c r="W17" s="20"/>
      <c r="X17" s="20"/>
      <c r="Y17" s="20"/>
      <c r="Z17" s="20"/>
      <c r="AA17" s="20"/>
    </row>
    <row r="18" spans="1:27" ht="12.75" x14ac:dyDescent="0.2">
      <c r="A18" s="20"/>
      <c r="R18" s="20"/>
      <c r="S18" s="20"/>
      <c r="T18" s="20"/>
      <c r="U18" s="20"/>
      <c r="V18" s="20"/>
      <c r="W18" s="20"/>
      <c r="X18" s="20"/>
      <c r="Y18" s="20"/>
      <c r="Z18" s="20"/>
      <c r="AA18" s="20"/>
    </row>
    <row r="19" spans="1:27" ht="12.75" x14ac:dyDescent="0.2">
      <c r="A19" s="20"/>
      <c r="R19" s="20"/>
      <c r="S19" s="20"/>
      <c r="T19" s="20"/>
      <c r="U19" s="20"/>
      <c r="V19" s="20"/>
      <c r="W19" s="20"/>
      <c r="X19" s="20"/>
      <c r="Y19" s="20"/>
      <c r="Z19" s="20"/>
      <c r="AA19" s="20"/>
    </row>
    <row r="20" spans="1:27" ht="12.75" x14ac:dyDescent="0.2">
      <c r="A20" s="20"/>
      <c r="R20" s="20"/>
      <c r="S20" s="20"/>
      <c r="T20" s="20"/>
      <c r="U20" s="20"/>
      <c r="V20" s="20"/>
      <c r="W20" s="20"/>
      <c r="X20" s="20"/>
      <c r="Y20" s="20"/>
      <c r="Z20" s="20"/>
      <c r="AA20" s="20"/>
    </row>
    <row r="21" spans="1:27" ht="12.75" x14ac:dyDescent="0.2">
      <c r="A21" s="20"/>
      <c r="R21" s="20"/>
      <c r="S21" s="20"/>
      <c r="T21" s="20"/>
      <c r="U21" s="20"/>
      <c r="V21" s="20"/>
      <c r="W21" s="20"/>
      <c r="X21" s="20"/>
      <c r="Y21" s="20"/>
      <c r="Z21" s="20"/>
      <c r="AA21" s="20"/>
    </row>
    <row r="22" spans="1:27" ht="12.75" x14ac:dyDescent="0.2">
      <c r="A22" s="20"/>
      <c r="R22" s="20"/>
      <c r="S22" s="20"/>
      <c r="T22" s="20"/>
      <c r="U22" s="20"/>
      <c r="V22" s="20"/>
      <c r="W22" s="20"/>
      <c r="X22" s="20"/>
      <c r="Y22" s="20"/>
      <c r="Z22" s="20"/>
      <c r="AA22" s="20"/>
    </row>
    <row r="23" spans="1:27" ht="12.75" x14ac:dyDescent="0.2">
      <c r="A23" s="20"/>
      <c r="R23" s="20"/>
      <c r="S23" s="20"/>
      <c r="T23" s="20"/>
      <c r="U23" s="20"/>
      <c r="V23" s="20"/>
      <c r="W23" s="20"/>
      <c r="X23" s="20"/>
      <c r="Y23" s="20"/>
      <c r="Z23" s="20"/>
      <c r="AA23" s="20"/>
    </row>
    <row r="24" spans="1:27" ht="12.75" x14ac:dyDescent="0.2">
      <c r="A24" s="20"/>
      <c r="R24" s="20"/>
      <c r="S24" s="20"/>
      <c r="T24" s="20"/>
      <c r="U24" s="20"/>
      <c r="V24" s="20"/>
      <c r="W24" s="20"/>
      <c r="X24" s="20"/>
      <c r="Y24" s="20"/>
      <c r="Z24" s="20"/>
      <c r="AA24" s="20"/>
    </row>
    <row r="25" spans="1:27" ht="26.25" x14ac:dyDescent="0.4">
      <c r="A25" s="20"/>
      <c r="L25" s="27" t="s">
        <v>9</v>
      </c>
      <c r="M25" s="26"/>
      <c r="N25" s="26"/>
      <c r="O25" s="26"/>
      <c r="P25" s="26"/>
      <c r="R25" s="20"/>
      <c r="S25" s="20"/>
      <c r="T25" s="20"/>
      <c r="U25" s="20"/>
      <c r="V25" s="20"/>
      <c r="W25" s="20"/>
      <c r="X25" s="20"/>
      <c r="Y25" s="20"/>
      <c r="Z25" s="20"/>
      <c r="AA25" s="20"/>
    </row>
    <row r="26" spans="1:27" ht="12.75" x14ac:dyDescent="0.2">
      <c r="A26" s="20"/>
      <c r="R26" s="20"/>
      <c r="S26" s="20"/>
      <c r="T26" s="20"/>
      <c r="U26" s="20"/>
      <c r="V26" s="20"/>
      <c r="W26" s="20"/>
      <c r="X26" s="20"/>
      <c r="Y26" s="20"/>
      <c r="Z26" s="20"/>
      <c r="AA26" s="20"/>
    </row>
    <row r="27" spans="1:27" ht="12.75" x14ac:dyDescent="0.2">
      <c r="A27" s="20"/>
      <c r="R27" s="20"/>
      <c r="S27" s="20"/>
      <c r="T27" s="20"/>
      <c r="U27" s="20"/>
      <c r="V27" s="20"/>
      <c r="W27" s="20"/>
      <c r="X27" s="20"/>
      <c r="Y27" s="20"/>
      <c r="Z27" s="20"/>
      <c r="AA27" s="20"/>
    </row>
    <row r="28" spans="1:27" ht="12.75" x14ac:dyDescent="0.2">
      <c r="A28" s="20"/>
      <c r="R28" s="20"/>
      <c r="S28" s="20"/>
      <c r="T28" s="20"/>
      <c r="U28" s="20"/>
      <c r="V28" s="20"/>
      <c r="W28" s="20"/>
      <c r="X28" s="20"/>
      <c r="Y28" s="20"/>
      <c r="Z28" s="20"/>
      <c r="AA28" s="20"/>
    </row>
    <row r="29" spans="1:27" ht="12.75" x14ac:dyDescent="0.2">
      <c r="A29" s="20"/>
      <c r="R29" s="20"/>
      <c r="S29" s="20"/>
      <c r="T29" s="20"/>
      <c r="U29" s="20"/>
      <c r="V29" s="20"/>
      <c r="W29" s="20"/>
      <c r="X29" s="20"/>
      <c r="Y29" s="20"/>
      <c r="Z29" s="20"/>
      <c r="AA29" s="20"/>
    </row>
    <row r="30" spans="1:27" ht="12.75" x14ac:dyDescent="0.2">
      <c r="A30" s="20"/>
      <c r="R30" s="20"/>
      <c r="S30" s="20"/>
      <c r="T30" s="20"/>
      <c r="U30" s="20"/>
      <c r="V30" s="20"/>
      <c r="W30" s="20"/>
      <c r="X30" s="20"/>
      <c r="Y30" s="20"/>
      <c r="Z30" s="20"/>
      <c r="AA30" s="20"/>
    </row>
    <row r="31" spans="1:27" ht="12.75" x14ac:dyDescent="0.2">
      <c r="A31" s="20"/>
      <c r="R31" s="20"/>
      <c r="S31" s="20"/>
      <c r="T31" s="20"/>
      <c r="U31" s="20"/>
      <c r="V31" s="20"/>
      <c r="W31" s="20"/>
      <c r="X31" s="20"/>
      <c r="Y31" s="20"/>
      <c r="Z31" s="20"/>
      <c r="AA31" s="20"/>
    </row>
    <row r="32" spans="1:27" ht="12.75" x14ac:dyDescent="0.2">
      <c r="A32" s="20"/>
      <c r="R32" s="20"/>
      <c r="S32" s="20"/>
      <c r="T32" s="20"/>
      <c r="U32" s="20"/>
      <c r="V32" s="20"/>
      <c r="W32" s="20"/>
      <c r="X32" s="20"/>
      <c r="Y32" s="20"/>
      <c r="Z32" s="20"/>
      <c r="AA32" s="20"/>
    </row>
    <row r="33" spans="1:27" ht="12.75" x14ac:dyDescent="0.2">
      <c r="A33" s="20"/>
      <c r="R33" s="20"/>
      <c r="S33" s="20"/>
      <c r="T33" s="20"/>
      <c r="U33" s="20"/>
      <c r="V33" s="20"/>
      <c r="W33" s="20"/>
      <c r="X33" s="20"/>
      <c r="Y33" s="20"/>
      <c r="Z33" s="20"/>
      <c r="AA33" s="20"/>
    </row>
    <row r="34" spans="1:27" ht="12.75" x14ac:dyDescent="0.2">
      <c r="A34" s="20"/>
      <c r="R34" s="20"/>
      <c r="S34" s="20"/>
      <c r="T34" s="20"/>
      <c r="U34" s="20"/>
      <c r="V34" s="20"/>
      <c r="W34" s="20"/>
      <c r="X34" s="20"/>
      <c r="Y34" s="20"/>
      <c r="Z34" s="20"/>
      <c r="AA34" s="20"/>
    </row>
    <row r="35" spans="1:27" ht="12.75" x14ac:dyDescent="0.2">
      <c r="A35" s="20"/>
      <c r="R35" s="20"/>
      <c r="S35" s="20"/>
      <c r="T35" s="20"/>
      <c r="U35" s="20"/>
      <c r="V35" s="20"/>
      <c r="W35" s="20"/>
      <c r="X35" s="20"/>
      <c r="Y35" s="20"/>
      <c r="Z35" s="20"/>
      <c r="AA35" s="20"/>
    </row>
    <row r="36" spans="1:27" ht="12.75" x14ac:dyDescent="0.2">
      <c r="A36" s="20"/>
      <c r="R36" s="20"/>
      <c r="S36" s="20"/>
      <c r="T36" s="20"/>
      <c r="U36" s="20"/>
      <c r="V36" s="20"/>
      <c r="W36" s="20"/>
      <c r="X36" s="20"/>
      <c r="Y36" s="20"/>
      <c r="Z36" s="20"/>
      <c r="AA36" s="20"/>
    </row>
    <row r="37" spans="1:27" ht="12.75" x14ac:dyDescent="0.2">
      <c r="A37" s="20"/>
      <c r="R37" s="20"/>
      <c r="S37" s="20"/>
      <c r="T37" s="20"/>
      <c r="U37" s="20"/>
      <c r="V37" s="20"/>
      <c r="W37" s="20"/>
      <c r="X37" s="20"/>
      <c r="Y37" s="20"/>
      <c r="Z37" s="20"/>
      <c r="AA37" s="20"/>
    </row>
    <row r="38" spans="1:27" ht="12.75" x14ac:dyDescent="0.2">
      <c r="A38" s="20"/>
      <c r="R38" s="20"/>
      <c r="S38" s="20"/>
      <c r="T38" s="20"/>
      <c r="U38" s="20"/>
      <c r="V38" s="20"/>
      <c r="W38" s="20"/>
      <c r="X38" s="20"/>
      <c r="Y38" s="20"/>
      <c r="Z38" s="20"/>
      <c r="AA38" s="20"/>
    </row>
    <row r="39" spans="1:27" ht="12.75" x14ac:dyDescent="0.2">
      <c r="A39" s="20"/>
      <c r="R39" s="20"/>
      <c r="S39" s="20"/>
      <c r="T39" s="20"/>
      <c r="U39" s="20"/>
      <c r="V39" s="20"/>
      <c r="W39" s="20"/>
      <c r="X39" s="20"/>
      <c r="Y39" s="20"/>
      <c r="Z39" s="20"/>
      <c r="AA39" s="20"/>
    </row>
    <row r="40" spans="1:27" ht="12.75" x14ac:dyDescent="0.2">
      <c r="A40" s="20"/>
      <c r="R40" s="20"/>
      <c r="S40" s="20"/>
      <c r="T40" s="20"/>
      <c r="U40" s="20"/>
      <c r="V40" s="20"/>
      <c r="W40" s="20"/>
      <c r="X40" s="20"/>
      <c r="Y40" s="20"/>
      <c r="Z40" s="20"/>
      <c r="AA40" s="20"/>
    </row>
    <row r="41" spans="1:27" ht="12.75" x14ac:dyDescent="0.2">
      <c r="A41" s="20"/>
      <c r="R41" s="20"/>
      <c r="S41" s="20"/>
      <c r="T41" s="20"/>
      <c r="U41" s="20"/>
      <c r="V41" s="20"/>
      <c r="W41" s="20"/>
      <c r="X41" s="20"/>
      <c r="Y41" s="20"/>
      <c r="Z41" s="20"/>
      <c r="AA41" s="20"/>
    </row>
    <row r="42" spans="1:27" ht="12.75" x14ac:dyDescent="0.2">
      <c r="A42" s="20"/>
      <c r="R42" s="20"/>
      <c r="S42" s="20"/>
      <c r="T42" s="20"/>
      <c r="U42" s="20"/>
      <c r="V42" s="20"/>
      <c r="W42" s="20"/>
      <c r="X42" s="20"/>
      <c r="Y42" s="20"/>
      <c r="Z42" s="20"/>
      <c r="AA42" s="20"/>
    </row>
    <row r="43" spans="1:27" ht="12.75" x14ac:dyDescent="0.2">
      <c r="A43" s="20"/>
      <c r="R43" s="20"/>
      <c r="S43" s="20"/>
      <c r="T43" s="20"/>
      <c r="U43" s="20"/>
      <c r="V43" s="20"/>
      <c r="W43" s="20"/>
      <c r="X43" s="20"/>
      <c r="Y43" s="20"/>
      <c r="Z43" s="20"/>
      <c r="AA43" s="20"/>
    </row>
    <row r="44" spans="1:27" ht="12.75" x14ac:dyDescent="0.2">
      <c r="A44" s="20"/>
      <c r="R44" s="20"/>
      <c r="S44" s="20"/>
      <c r="T44" s="20"/>
      <c r="U44" s="20"/>
      <c r="V44" s="20"/>
      <c r="W44" s="20"/>
      <c r="X44" s="20"/>
      <c r="Y44" s="20"/>
      <c r="Z44" s="20"/>
      <c r="AA44" s="20"/>
    </row>
    <row r="45" spans="1:27" ht="12.75" x14ac:dyDescent="0.2">
      <c r="A45" s="20"/>
      <c r="R45" s="20"/>
      <c r="S45" s="20"/>
      <c r="T45" s="20"/>
      <c r="U45" s="20"/>
      <c r="V45" s="20"/>
      <c r="W45" s="20"/>
      <c r="X45" s="20"/>
      <c r="Y45" s="20"/>
      <c r="Z45" s="20"/>
      <c r="AA45" s="20"/>
    </row>
    <row r="46" spans="1:27" ht="12.75" x14ac:dyDescent="0.2">
      <c r="A46" s="20"/>
      <c r="R46" s="20"/>
      <c r="S46" s="20"/>
      <c r="T46" s="20"/>
      <c r="U46" s="20"/>
      <c r="V46" s="20"/>
      <c r="W46" s="20"/>
      <c r="X46" s="20"/>
      <c r="Y46" s="20"/>
      <c r="Z46" s="20"/>
      <c r="AA46" s="20"/>
    </row>
    <row r="47" spans="1:27" ht="12.75" x14ac:dyDescent="0.2">
      <c r="A47" s="20"/>
      <c r="R47" s="20"/>
      <c r="S47" s="20"/>
      <c r="T47" s="20"/>
      <c r="U47" s="20"/>
      <c r="V47" s="20"/>
      <c r="W47" s="20"/>
      <c r="X47" s="20"/>
      <c r="Y47" s="20"/>
      <c r="Z47" s="20"/>
      <c r="AA47" s="20"/>
    </row>
    <row r="48" spans="1:27" ht="12.75" x14ac:dyDescent="0.2">
      <c r="A48" s="20"/>
      <c r="R48" s="20"/>
      <c r="S48" s="20"/>
      <c r="T48" s="20"/>
      <c r="U48" s="20"/>
      <c r="V48" s="20"/>
      <c r="W48" s="20"/>
      <c r="X48" s="20"/>
      <c r="Y48" s="20"/>
      <c r="Z48" s="20"/>
      <c r="AA48" s="20"/>
    </row>
    <row r="49" spans="1:27" ht="12.75" x14ac:dyDescent="0.2">
      <c r="A49" s="20"/>
      <c r="R49" s="20"/>
      <c r="S49" s="20"/>
      <c r="T49" s="20"/>
      <c r="U49" s="20"/>
      <c r="V49" s="20"/>
      <c r="W49" s="20"/>
      <c r="X49" s="20"/>
      <c r="Y49" s="20"/>
      <c r="Z49" s="20"/>
      <c r="AA49" s="20"/>
    </row>
    <row r="50" spans="1:27" ht="12.75" x14ac:dyDescent="0.2">
      <c r="A50" s="20"/>
      <c r="R50" s="20"/>
      <c r="S50" s="20"/>
      <c r="T50" s="20"/>
      <c r="U50" s="20"/>
      <c r="V50" s="20"/>
      <c r="W50" s="20"/>
      <c r="X50" s="20"/>
      <c r="Y50" s="20"/>
      <c r="Z50" s="20"/>
      <c r="AA50" s="20"/>
    </row>
    <row r="51" spans="1:27" ht="26.25" x14ac:dyDescent="0.4">
      <c r="A51" s="20"/>
      <c r="L51" s="27" t="s">
        <v>10</v>
      </c>
      <c r="M51" s="26"/>
      <c r="N51" s="26"/>
      <c r="O51" s="26"/>
      <c r="P51" s="26"/>
      <c r="R51" s="20"/>
      <c r="S51" s="20"/>
      <c r="T51" s="20"/>
      <c r="U51" s="20"/>
      <c r="V51" s="20"/>
      <c r="W51" s="20"/>
      <c r="X51" s="20"/>
      <c r="Y51" s="20"/>
      <c r="Z51" s="20"/>
      <c r="AA51" s="20"/>
    </row>
    <row r="52" spans="1:27" ht="12.75" x14ac:dyDescent="0.2">
      <c r="A52" s="20"/>
      <c r="R52" s="20"/>
      <c r="S52" s="20"/>
      <c r="T52" s="20"/>
      <c r="U52" s="20"/>
      <c r="V52" s="20"/>
      <c r="W52" s="20"/>
      <c r="X52" s="20"/>
      <c r="Y52" s="20"/>
      <c r="Z52" s="20"/>
      <c r="AA52" s="20"/>
    </row>
    <row r="53" spans="1:27" ht="12.75" x14ac:dyDescent="0.2">
      <c r="A53" s="20"/>
      <c r="R53" s="20"/>
      <c r="S53" s="20"/>
      <c r="T53" s="20"/>
      <c r="U53" s="20"/>
      <c r="V53" s="20"/>
      <c r="W53" s="20"/>
      <c r="X53" s="20"/>
      <c r="Y53" s="20"/>
      <c r="Z53" s="20"/>
      <c r="AA53" s="20"/>
    </row>
    <row r="54" spans="1:27" ht="12.75" x14ac:dyDescent="0.2">
      <c r="A54" s="20"/>
      <c r="R54" s="20"/>
      <c r="S54" s="20"/>
      <c r="T54" s="20"/>
      <c r="U54" s="20"/>
      <c r="V54" s="20"/>
      <c r="W54" s="20"/>
      <c r="X54" s="20"/>
      <c r="Y54" s="20"/>
      <c r="Z54" s="20"/>
      <c r="AA54" s="20"/>
    </row>
    <row r="55" spans="1:27" ht="12.75" x14ac:dyDescent="0.2">
      <c r="A55" s="20"/>
      <c r="R55" s="20"/>
      <c r="S55" s="20"/>
      <c r="T55" s="20"/>
      <c r="U55" s="20"/>
      <c r="V55" s="20"/>
      <c r="W55" s="20"/>
      <c r="X55" s="20"/>
      <c r="Y55" s="20"/>
      <c r="Z55" s="20"/>
      <c r="AA55" s="20"/>
    </row>
    <row r="56" spans="1:27" ht="12.75" x14ac:dyDescent="0.2">
      <c r="A56" s="20"/>
      <c r="R56" s="20"/>
      <c r="S56" s="20"/>
      <c r="T56" s="20"/>
      <c r="U56" s="20"/>
      <c r="V56" s="20"/>
      <c r="W56" s="20"/>
      <c r="X56" s="20"/>
      <c r="Y56" s="20"/>
      <c r="Z56" s="20"/>
      <c r="AA56" s="20"/>
    </row>
    <row r="57" spans="1:27" ht="12.75" x14ac:dyDescent="0.2">
      <c r="A57" s="20"/>
      <c r="R57" s="20"/>
      <c r="S57" s="20"/>
      <c r="T57" s="20"/>
      <c r="U57" s="20"/>
      <c r="V57" s="20"/>
      <c r="W57" s="20"/>
      <c r="X57" s="20"/>
      <c r="Y57" s="20"/>
      <c r="Z57" s="20"/>
      <c r="AA57" s="20"/>
    </row>
    <row r="58" spans="1:27" ht="12.75" x14ac:dyDescent="0.2">
      <c r="A58" s="20"/>
      <c r="R58" s="20"/>
      <c r="S58" s="20"/>
      <c r="T58" s="20"/>
      <c r="U58" s="20"/>
      <c r="V58" s="20"/>
      <c r="W58" s="20"/>
      <c r="X58" s="20"/>
      <c r="Y58" s="20"/>
      <c r="Z58" s="20"/>
      <c r="AA58" s="20"/>
    </row>
    <row r="59" spans="1:27" ht="12.75" x14ac:dyDescent="0.2">
      <c r="A59" s="20"/>
      <c r="R59" s="20"/>
      <c r="S59" s="20"/>
      <c r="T59" s="20"/>
      <c r="U59" s="20"/>
      <c r="V59" s="20"/>
      <c r="W59" s="20"/>
      <c r="X59" s="20"/>
      <c r="Y59" s="20"/>
      <c r="Z59" s="20"/>
      <c r="AA59" s="20"/>
    </row>
    <row r="60" spans="1:27" ht="12.75" x14ac:dyDescent="0.2">
      <c r="A60" s="20"/>
      <c r="R60" s="20"/>
      <c r="S60" s="20"/>
      <c r="T60" s="20"/>
      <c r="U60" s="20"/>
      <c r="V60" s="20"/>
      <c r="W60" s="20"/>
      <c r="X60" s="20"/>
      <c r="Y60" s="20"/>
      <c r="Z60" s="20"/>
      <c r="AA60" s="20"/>
    </row>
    <row r="61" spans="1:27" ht="12.75" x14ac:dyDescent="0.2">
      <c r="A61" s="20"/>
      <c r="R61" s="20"/>
      <c r="S61" s="20"/>
      <c r="T61" s="20"/>
      <c r="U61" s="20"/>
      <c r="V61" s="20"/>
      <c r="W61" s="20"/>
      <c r="X61" s="20"/>
      <c r="Y61" s="20"/>
      <c r="Z61" s="20"/>
      <c r="AA61" s="20"/>
    </row>
    <row r="62" spans="1:27" ht="12.75" x14ac:dyDescent="0.2">
      <c r="A62" s="20"/>
      <c r="R62" s="20"/>
      <c r="S62" s="20"/>
      <c r="T62" s="20"/>
      <c r="U62" s="20"/>
      <c r="V62" s="20"/>
      <c r="W62" s="20"/>
      <c r="X62" s="20"/>
      <c r="Y62" s="20"/>
      <c r="Z62" s="20"/>
      <c r="AA62" s="20"/>
    </row>
    <row r="63" spans="1:27" ht="12.75" x14ac:dyDescent="0.2">
      <c r="A63" s="20"/>
      <c r="R63" s="20"/>
      <c r="S63" s="20"/>
      <c r="T63" s="20"/>
      <c r="U63" s="20"/>
      <c r="V63" s="20"/>
      <c r="W63" s="20"/>
      <c r="X63" s="20"/>
      <c r="Y63" s="20"/>
      <c r="Z63" s="20"/>
      <c r="AA63" s="20"/>
    </row>
    <row r="64" spans="1:27" ht="12.75" x14ac:dyDescent="0.2">
      <c r="A64" s="20"/>
      <c r="R64" s="20"/>
      <c r="S64" s="20"/>
      <c r="T64" s="20"/>
      <c r="U64" s="20"/>
      <c r="V64" s="20"/>
      <c r="W64" s="20"/>
      <c r="X64" s="20"/>
      <c r="Y64" s="20"/>
      <c r="Z64" s="20"/>
      <c r="AA64" s="20"/>
    </row>
    <row r="65" spans="1:27" ht="12.75" x14ac:dyDescent="0.2">
      <c r="A65" s="20"/>
      <c r="R65" s="20"/>
      <c r="S65" s="20"/>
      <c r="T65" s="20"/>
      <c r="U65" s="20"/>
      <c r="V65" s="20"/>
      <c r="W65" s="20"/>
      <c r="X65" s="20"/>
      <c r="Y65" s="20"/>
      <c r="Z65" s="20"/>
      <c r="AA65" s="20"/>
    </row>
    <row r="66" spans="1:27" ht="12.75" x14ac:dyDescent="0.2">
      <c r="A66" s="20"/>
      <c r="R66" s="20"/>
      <c r="S66" s="20"/>
      <c r="T66" s="20"/>
      <c r="U66" s="20"/>
      <c r="V66" s="20"/>
      <c r="W66" s="20"/>
      <c r="X66" s="20"/>
      <c r="Y66" s="20"/>
      <c r="Z66" s="20"/>
      <c r="AA66" s="20"/>
    </row>
    <row r="67" spans="1:27" ht="12.75" x14ac:dyDescent="0.2">
      <c r="A67" s="20"/>
      <c r="R67" s="20"/>
      <c r="S67" s="20"/>
      <c r="T67" s="20"/>
      <c r="U67" s="20"/>
      <c r="V67" s="20"/>
      <c r="W67" s="20"/>
      <c r="X67" s="20"/>
      <c r="Y67" s="20"/>
      <c r="Z67" s="20"/>
      <c r="AA67" s="20"/>
    </row>
    <row r="68" spans="1:27" ht="12.75" x14ac:dyDescent="0.2">
      <c r="A68" s="20"/>
      <c r="R68" s="20"/>
      <c r="S68" s="20"/>
      <c r="T68" s="20"/>
      <c r="U68" s="20"/>
      <c r="V68" s="20"/>
      <c r="W68" s="20"/>
      <c r="X68" s="20"/>
      <c r="Y68" s="20"/>
      <c r="Z68" s="20"/>
      <c r="AA68" s="20"/>
    </row>
    <row r="69" spans="1:27" ht="12.75" x14ac:dyDescent="0.2">
      <c r="A69" s="20"/>
      <c r="R69" s="20"/>
      <c r="S69" s="20"/>
      <c r="T69" s="20"/>
      <c r="U69" s="20"/>
      <c r="V69" s="20"/>
      <c r="W69" s="20"/>
      <c r="X69" s="20"/>
      <c r="Y69" s="20"/>
      <c r="Z69" s="20"/>
      <c r="AA69" s="20"/>
    </row>
    <row r="70" spans="1:27" ht="12.75" x14ac:dyDescent="0.2">
      <c r="A70" s="20"/>
      <c r="R70" s="20"/>
      <c r="S70" s="20"/>
      <c r="T70" s="20"/>
      <c r="U70" s="20"/>
      <c r="V70" s="20"/>
      <c r="W70" s="20"/>
      <c r="X70" s="20"/>
      <c r="Y70" s="20"/>
      <c r="Z70" s="20"/>
      <c r="AA70" s="20"/>
    </row>
    <row r="71" spans="1:27" ht="12.75" x14ac:dyDescent="0.2">
      <c r="A71" s="20"/>
      <c r="R71" s="20"/>
      <c r="S71" s="20"/>
      <c r="T71" s="20"/>
      <c r="U71" s="20"/>
      <c r="V71" s="20"/>
      <c r="W71" s="20"/>
      <c r="X71" s="20"/>
      <c r="Y71" s="20"/>
      <c r="Z71" s="20"/>
      <c r="AA71" s="20"/>
    </row>
    <row r="72" spans="1:27" ht="12.75" x14ac:dyDescent="0.2">
      <c r="A72" s="20"/>
      <c r="R72" s="20"/>
      <c r="S72" s="20"/>
      <c r="T72" s="20"/>
      <c r="U72" s="20"/>
      <c r="V72" s="20"/>
      <c r="W72" s="20"/>
      <c r="X72" s="20"/>
      <c r="Y72" s="20"/>
      <c r="Z72" s="20"/>
      <c r="AA72" s="20"/>
    </row>
    <row r="73" spans="1:27" ht="12.75" x14ac:dyDescent="0.2">
      <c r="A73" s="20"/>
      <c r="R73" s="20"/>
      <c r="S73" s="20"/>
      <c r="T73" s="20"/>
      <c r="U73" s="20"/>
      <c r="V73" s="20"/>
      <c r="W73" s="20"/>
      <c r="X73" s="20"/>
      <c r="Y73" s="20"/>
      <c r="Z73" s="20"/>
      <c r="AA73" s="20"/>
    </row>
    <row r="74" spans="1:27" ht="12.75" x14ac:dyDescent="0.2">
      <c r="A74" s="20"/>
      <c r="R74" s="20"/>
      <c r="S74" s="20"/>
      <c r="T74" s="20"/>
      <c r="U74" s="20"/>
      <c r="V74" s="20"/>
      <c r="W74" s="20"/>
      <c r="X74" s="20"/>
      <c r="Y74" s="20"/>
      <c r="Z74" s="20"/>
      <c r="AA74" s="20"/>
    </row>
    <row r="75" spans="1:27" ht="12.75" x14ac:dyDescent="0.2">
      <c r="A75" s="20"/>
      <c r="R75" s="20"/>
      <c r="S75" s="20"/>
      <c r="T75" s="20"/>
      <c r="U75" s="20"/>
      <c r="V75" s="20"/>
      <c r="W75" s="20"/>
      <c r="X75" s="20"/>
      <c r="Y75" s="20"/>
      <c r="Z75" s="20"/>
      <c r="AA75" s="20"/>
    </row>
    <row r="76" spans="1:27" ht="12.75" x14ac:dyDescent="0.2">
      <c r="A76" s="20"/>
      <c r="R76" s="20"/>
      <c r="S76" s="20"/>
      <c r="T76" s="20"/>
      <c r="U76" s="20"/>
      <c r="V76" s="20"/>
      <c r="W76" s="20"/>
      <c r="X76" s="20"/>
      <c r="Y76" s="20"/>
      <c r="Z76" s="20"/>
      <c r="AA76" s="20"/>
    </row>
    <row r="77" spans="1:27" ht="26.25" x14ac:dyDescent="0.4">
      <c r="A77" s="20"/>
      <c r="L77" s="27" t="s">
        <v>12</v>
      </c>
      <c r="M77" s="26"/>
      <c r="N77" s="26"/>
      <c r="O77" s="26"/>
      <c r="P77" s="26"/>
      <c r="R77" s="20"/>
      <c r="S77" s="20"/>
      <c r="T77" s="20"/>
      <c r="U77" s="20"/>
      <c r="V77" s="20"/>
      <c r="W77" s="20"/>
      <c r="X77" s="20"/>
      <c r="Y77" s="20"/>
      <c r="Z77" s="20"/>
      <c r="AA77" s="20"/>
    </row>
    <row r="78" spans="1:27" ht="12.75" x14ac:dyDescent="0.2">
      <c r="A78" s="20"/>
      <c r="R78" s="20"/>
      <c r="S78" s="20"/>
      <c r="T78" s="20"/>
      <c r="U78" s="20"/>
      <c r="V78" s="20"/>
      <c r="W78" s="20"/>
      <c r="X78" s="20"/>
      <c r="Y78" s="20"/>
      <c r="Z78" s="20"/>
      <c r="AA78" s="20"/>
    </row>
    <row r="79" spans="1:27" ht="12.75" x14ac:dyDescent="0.2">
      <c r="A79" s="20"/>
      <c r="R79" s="20"/>
      <c r="S79" s="20"/>
      <c r="T79" s="20"/>
      <c r="U79" s="20"/>
      <c r="V79" s="20"/>
      <c r="W79" s="20"/>
      <c r="X79" s="20"/>
      <c r="Y79" s="20"/>
      <c r="Z79" s="20"/>
      <c r="AA79" s="20"/>
    </row>
    <row r="80" spans="1:27" ht="12.75" x14ac:dyDescent="0.2">
      <c r="A80" s="20"/>
      <c r="R80" s="20"/>
      <c r="S80" s="20"/>
      <c r="T80" s="20"/>
      <c r="U80" s="20"/>
      <c r="V80" s="20"/>
      <c r="W80" s="20"/>
      <c r="X80" s="20"/>
      <c r="Y80" s="20"/>
      <c r="Z80" s="20"/>
      <c r="AA80" s="20"/>
    </row>
    <row r="81" spans="1:27" ht="12.75" x14ac:dyDescent="0.2">
      <c r="A81" s="20"/>
      <c r="R81" s="20"/>
      <c r="S81" s="20"/>
      <c r="T81" s="20"/>
      <c r="U81" s="20"/>
      <c r="V81" s="20"/>
      <c r="W81" s="20"/>
      <c r="X81" s="20"/>
      <c r="Y81" s="20"/>
      <c r="Z81" s="20"/>
      <c r="AA81" s="20"/>
    </row>
    <row r="82" spans="1:27" ht="12.75" x14ac:dyDescent="0.2">
      <c r="A82" s="20"/>
      <c r="R82" s="20"/>
      <c r="S82" s="20"/>
      <c r="T82" s="20"/>
      <c r="U82" s="20"/>
      <c r="V82" s="20"/>
      <c r="W82" s="20"/>
      <c r="X82" s="20"/>
      <c r="Y82" s="20"/>
      <c r="Z82" s="20"/>
      <c r="AA82" s="20"/>
    </row>
    <row r="83" spans="1:27" ht="12.75" x14ac:dyDescent="0.2">
      <c r="A83" s="20"/>
      <c r="R83" s="20"/>
      <c r="S83" s="20"/>
      <c r="T83" s="20"/>
      <c r="U83" s="20"/>
      <c r="V83" s="20"/>
      <c r="W83" s="20"/>
      <c r="X83" s="20"/>
      <c r="Y83" s="20"/>
      <c r="Z83" s="20"/>
      <c r="AA83" s="20"/>
    </row>
    <row r="84" spans="1:27" ht="12.75" x14ac:dyDescent="0.2">
      <c r="A84" s="20"/>
      <c r="R84" s="20"/>
      <c r="S84" s="20"/>
      <c r="T84" s="20"/>
      <c r="U84" s="20"/>
      <c r="V84" s="20"/>
      <c r="W84" s="20"/>
      <c r="X84" s="20"/>
      <c r="Y84" s="20"/>
      <c r="Z84" s="20"/>
      <c r="AA84" s="20"/>
    </row>
    <row r="85" spans="1:27" ht="12.75" x14ac:dyDescent="0.2">
      <c r="A85" s="20"/>
      <c r="R85" s="20"/>
      <c r="S85" s="20"/>
      <c r="T85" s="20"/>
      <c r="U85" s="20"/>
      <c r="V85" s="20"/>
      <c r="W85" s="20"/>
      <c r="X85" s="20"/>
      <c r="Y85" s="20"/>
      <c r="Z85" s="20"/>
      <c r="AA85" s="20"/>
    </row>
    <row r="86" spans="1:27" ht="12.75" x14ac:dyDescent="0.2">
      <c r="A86" s="20"/>
      <c r="R86" s="20"/>
      <c r="S86" s="20"/>
      <c r="T86" s="20"/>
      <c r="U86" s="20"/>
      <c r="V86" s="20"/>
      <c r="W86" s="20"/>
      <c r="X86" s="20"/>
      <c r="Y86" s="20"/>
      <c r="Z86" s="20"/>
      <c r="AA86" s="20"/>
    </row>
    <row r="87" spans="1:27" ht="12.75" x14ac:dyDescent="0.2">
      <c r="A87" s="20"/>
      <c r="R87" s="20"/>
      <c r="S87" s="20"/>
      <c r="T87" s="20"/>
      <c r="U87" s="20"/>
      <c r="V87" s="20"/>
      <c r="W87" s="20"/>
      <c r="X87" s="20"/>
      <c r="Y87" s="20"/>
      <c r="Z87" s="20"/>
      <c r="AA87" s="20"/>
    </row>
    <row r="88" spans="1:27" ht="12.75" x14ac:dyDescent="0.2">
      <c r="A88" s="20"/>
      <c r="R88" s="20"/>
      <c r="S88" s="20"/>
      <c r="T88" s="20"/>
      <c r="U88" s="20"/>
      <c r="V88" s="20"/>
      <c r="W88" s="20"/>
      <c r="X88" s="20"/>
      <c r="Y88" s="20"/>
      <c r="Z88" s="20"/>
      <c r="AA88" s="20"/>
    </row>
    <row r="89" spans="1:27" ht="12.75" x14ac:dyDescent="0.2">
      <c r="A89" s="20"/>
      <c r="R89" s="20"/>
      <c r="S89" s="20"/>
      <c r="T89" s="20"/>
      <c r="U89" s="20"/>
      <c r="V89" s="20"/>
      <c r="W89" s="20"/>
      <c r="X89" s="20"/>
      <c r="Y89" s="20"/>
      <c r="Z89" s="20"/>
      <c r="AA89" s="20"/>
    </row>
    <row r="90" spans="1:27" ht="12.75" x14ac:dyDescent="0.2">
      <c r="A90" s="20"/>
      <c r="R90" s="20"/>
      <c r="S90" s="20"/>
      <c r="T90" s="20"/>
      <c r="U90" s="20"/>
      <c r="V90" s="20"/>
      <c r="W90" s="20"/>
      <c r="X90" s="20"/>
      <c r="Y90" s="20"/>
      <c r="Z90" s="20"/>
      <c r="AA90" s="20"/>
    </row>
    <row r="91" spans="1:27" ht="12.75" x14ac:dyDescent="0.2">
      <c r="A91" s="20"/>
      <c r="R91" s="20"/>
      <c r="S91" s="20"/>
      <c r="T91" s="20"/>
      <c r="U91" s="20"/>
      <c r="V91" s="20"/>
      <c r="W91" s="20"/>
      <c r="X91" s="20"/>
      <c r="Y91" s="20"/>
      <c r="Z91" s="20"/>
      <c r="AA91" s="20"/>
    </row>
    <row r="92" spans="1:27" ht="12.75" x14ac:dyDescent="0.2">
      <c r="A92" s="20"/>
      <c r="R92" s="20"/>
      <c r="S92" s="20"/>
      <c r="T92" s="20"/>
      <c r="U92" s="20"/>
      <c r="V92" s="20"/>
      <c r="W92" s="20"/>
      <c r="X92" s="20"/>
      <c r="Y92" s="20"/>
      <c r="Z92" s="20"/>
      <c r="AA92" s="20"/>
    </row>
    <row r="93" spans="1:27" ht="12.75" x14ac:dyDescent="0.2">
      <c r="A93" s="20"/>
      <c r="R93" s="20"/>
      <c r="S93" s="20"/>
      <c r="T93" s="20"/>
      <c r="U93" s="20"/>
      <c r="V93" s="20"/>
      <c r="W93" s="20"/>
      <c r="X93" s="20"/>
      <c r="Y93" s="20"/>
      <c r="Z93" s="20"/>
      <c r="AA93" s="20"/>
    </row>
    <row r="94" spans="1:27" ht="12.75" x14ac:dyDescent="0.2">
      <c r="A94" s="20"/>
      <c r="R94" s="20"/>
      <c r="S94" s="20"/>
      <c r="T94" s="20"/>
      <c r="U94" s="20"/>
      <c r="V94" s="20"/>
      <c r="W94" s="20"/>
      <c r="X94" s="20"/>
      <c r="Y94" s="20"/>
      <c r="Z94" s="20"/>
      <c r="AA94" s="20"/>
    </row>
    <row r="95" spans="1:27" ht="12.75" x14ac:dyDescent="0.2">
      <c r="A95" s="20"/>
      <c r="R95" s="20"/>
      <c r="S95" s="20"/>
      <c r="T95" s="20"/>
      <c r="U95" s="20"/>
      <c r="V95" s="20"/>
      <c r="W95" s="20"/>
      <c r="X95" s="20"/>
      <c r="Y95" s="20"/>
      <c r="Z95" s="20"/>
      <c r="AA95" s="20"/>
    </row>
    <row r="96" spans="1:27" ht="12.75" x14ac:dyDescent="0.2">
      <c r="A96" s="20"/>
      <c r="R96" s="20"/>
      <c r="S96" s="20"/>
      <c r="T96" s="20"/>
      <c r="U96" s="20"/>
      <c r="V96" s="20"/>
      <c r="W96" s="20"/>
      <c r="X96" s="20"/>
      <c r="Y96" s="20"/>
      <c r="Z96" s="20"/>
      <c r="AA96" s="20"/>
    </row>
    <row r="97" spans="1:27" ht="12.75" x14ac:dyDescent="0.2">
      <c r="A97" s="20"/>
      <c r="R97" s="20"/>
      <c r="S97" s="20"/>
      <c r="T97" s="20"/>
      <c r="U97" s="20"/>
      <c r="V97" s="20"/>
      <c r="W97" s="20"/>
      <c r="X97" s="20"/>
      <c r="Y97" s="20"/>
      <c r="Z97" s="20"/>
      <c r="AA97" s="20"/>
    </row>
    <row r="98" spans="1:27" ht="12.75" x14ac:dyDescent="0.2">
      <c r="A98" s="20"/>
      <c r="R98" s="20"/>
      <c r="S98" s="20"/>
      <c r="T98" s="20"/>
      <c r="U98" s="20"/>
      <c r="V98" s="20"/>
      <c r="W98" s="20"/>
      <c r="X98" s="20"/>
      <c r="Y98" s="20"/>
      <c r="Z98" s="20"/>
      <c r="AA98" s="20"/>
    </row>
    <row r="99" spans="1:27" ht="12.75" x14ac:dyDescent="0.2">
      <c r="A99" s="20"/>
      <c r="R99" s="20"/>
      <c r="S99" s="20"/>
      <c r="T99" s="20"/>
      <c r="U99" s="20"/>
      <c r="V99" s="20"/>
      <c r="W99" s="20"/>
      <c r="X99" s="20"/>
      <c r="Y99" s="20"/>
      <c r="Z99" s="20"/>
      <c r="AA99" s="20"/>
    </row>
    <row r="100" spans="1:27" ht="12.75" x14ac:dyDescent="0.2">
      <c r="A100" s="20"/>
      <c r="R100" s="20"/>
      <c r="S100" s="20"/>
      <c r="T100" s="20"/>
      <c r="U100" s="20"/>
      <c r="V100" s="20"/>
      <c r="W100" s="20"/>
      <c r="X100" s="20"/>
      <c r="Y100" s="20"/>
      <c r="Z100" s="20"/>
      <c r="AA100" s="20"/>
    </row>
    <row r="101" spans="1:27" ht="12.75" x14ac:dyDescent="0.2">
      <c r="A101" s="20"/>
      <c r="R101" s="20"/>
      <c r="S101" s="20"/>
      <c r="T101" s="20"/>
      <c r="U101" s="20"/>
      <c r="V101" s="20"/>
      <c r="W101" s="20"/>
      <c r="X101" s="20"/>
      <c r="Y101" s="20"/>
      <c r="Z101" s="20"/>
      <c r="AA101" s="20"/>
    </row>
    <row r="102" spans="1:27" ht="12.75" x14ac:dyDescent="0.2">
      <c r="A102" s="20"/>
      <c r="R102" s="20"/>
      <c r="S102" s="20"/>
      <c r="T102" s="20"/>
      <c r="U102" s="20"/>
      <c r="V102" s="20"/>
      <c r="W102" s="20"/>
      <c r="X102" s="20"/>
      <c r="Y102" s="20"/>
      <c r="Z102" s="20"/>
      <c r="AA102" s="20"/>
    </row>
    <row r="103" spans="1:27" ht="26.25" x14ac:dyDescent="0.4">
      <c r="A103" s="20"/>
      <c r="L103" s="27" t="s">
        <v>13</v>
      </c>
      <c r="M103" s="26"/>
      <c r="N103" s="26"/>
      <c r="O103" s="26"/>
      <c r="P103" s="26"/>
      <c r="R103" s="20"/>
      <c r="S103" s="20"/>
      <c r="T103" s="20"/>
      <c r="U103" s="20"/>
      <c r="V103" s="20"/>
      <c r="W103" s="20"/>
      <c r="X103" s="20"/>
      <c r="Y103" s="20"/>
      <c r="Z103" s="20"/>
      <c r="AA103" s="20"/>
    </row>
    <row r="104" spans="1:27" ht="12.75" x14ac:dyDescent="0.2">
      <c r="A104" s="20"/>
      <c r="R104" s="20"/>
      <c r="S104" s="20"/>
      <c r="T104" s="20"/>
      <c r="U104" s="20"/>
      <c r="V104" s="20"/>
      <c r="W104" s="20"/>
      <c r="X104" s="20"/>
      <c r="Y104" s="20"/>
      <c r="Z104" s="20"/>
      <c r="AA104" s="20"/>
    </row>
    <row r="105" spans="1:27" ht="12.75" x14ac:dyDescent="0.2">
      <c r="A105" s="20"/>
      <c r="R105" s="20"/>
      <c r="S105" s="20"/>
      <c r="T105" s="20"/>
      <c r="U105" s="20"/>
      <c r="V105" s="20"/>
      <c r="W105" s="20"/>
      <c r="X105" s="20"/>
      <c r="Y105" s="20"/>
      <c r="Z105" s="20"/>
      <c r="AA105" s="20"/>
    </row>
    <row r="106" spans="1:27" ht="12.75" x14ac:dyDescent="0.2">
      <c r="A106" s="20"/>
      <c r="R106" s="20"/>
      <c r="S106" s="20"/>
      <c r="T106" s="20"/>
      <c r="U106" s="20"/>
      <c r="V106" s="20"/>
      <c r="W106" s="20"/>
      <c r="X106" s="20"/>
      <c r="Y106" s="20"/>
      <c r="Z106" s="20"/>
      <c r="AA106" s="20"/>
    </row>
    <row r="107" spans="1:27" ht="12.75" x14ac:dyDescent="0.2">
      <c r="A107" s="20"/>
      <c r="R107" s="20"/>
      <c r="S107" s="20"/>
      <c r="T107" s="20"/>
      <c r="U107" s="20"/>
      <c r="V107" s="20"/>
      <c r="W107" s="20"/>
      <c r="X107" s="20"/>
      <c r="Y107" s="20"/>
      <c r="Z107" s="20"/>
      <c r="AA107" s="20"/>
    </row>
    <row r="108" spans="1:27" ht="12.75" x14ac:dyDescent="0.2">
      <c r="A108" s="20"/>
      <c r="R108" s="20"/>
      <c r="S108" s="20"/>
      <c r="T108" s="20"/>
      <c r="U108" s="20"/>
      <c r="V108" s="20"/>
      <c r="W108" s="20"/>
      <c r="X108" s="20"/>
      <c r="Y108" s="20"/>
      <c r="Z108" s="20"/>
      <c r="AA108" s="20"/>
    </row>
    <row r="109" spans="1:27" ht="12.75" x14ac:dyDescent="0.2">
      <c r="A109" s="20"/>
      <c r="R109" s="20"/>
      <c r="S109" s="20"/>
      <c r="T109" s="20"/>
      <c r="U109" s="20"/>
      <c r="V109" s="20"/>
      <c r="W109" s="20"/>
      <c r="X109" s="20"/>
      <c r="Y109" s="20"/>
      <c r="Z109" s="20"/>
      <c r="AA109" s="20"/>
    </row>
    <row r="110" spans="1:27" ht="12.75" x14ac:dyDescent="0.2">
      <c r="A110" s="20"/>
      <c r="R110" s="20"/>
      <c r="S110" s="20"/>
      <c r="T110" s="20"/>
      <c r="U110" s="20"/>
      <c r="V110" s="20"/>
      <c r="W110" s="20"/>
      <c r="X110" s="20"/>
      <c r="Y110" s="20"/>
      <c r="Z110" s="20"/>
      <c r="AA110" s="20"/>
    </row>
    <row r="111" spans="1:27" ht="12.75" x14ac:dyDescent="0.2">
      <c r="A111" s="20"/>
      <c r="R111" s="20"/>
      <c r="S111" s="20"/>
      <c r="T111" s="20"/>
      <c r="U111" s="20"/>
      <c r="V111" s="20"/>
      <c r="W111" s="20"/>
      <c r="X111" s="20"/>
      <c r="Y111" s="20"/>
      <c r="Z111" s="20"/>
      <c r="AA111" s="20"/>
    </row>
    <row r="112" spans="1:27" ht="12.75" x14ac:dyDescent="0.2">
      <c r="A112" s="20"/>
      <c r="R112" s="20"/>
      <c r="S112" s="20"/>
      <c r="T112" s="20"/>
      <c r="U112" s="20"/>
      <c r="V112" s="20"/>
      <c r="W112" s="20"/>
      <c r="X112" s="20"/>
      <c r="Y112" s="20"/>
      <c r="Z112" s="20"/>
      <c r="AA112" s="20"/>
    </row>
    <row r="113" spans="1:27" ht="12.75" x14ac:dyDescent="0.2">
      <c r="A113" s="20"/>
      <c r="R113" s="20"/>
      <c r="S113" s="20"/>
      <c r="T113" s="20"/>
      <c r="U113" s="20"/>
      <c r="V113" s="20"/>
      <c r="W113" s="20"/>
      <c r="X113" s="20"/>
      <c r="Y113" s="20"/>
      <c r="Z113" s="20"/>
      <c r="AA113" s="20"/>
    </row>
    <row r="114" spans="1:27" ht="12.75" x14ac:dyDescent="0.2">
      <c r="A114" s="20"/>
      <c r="R114" s="20"/>
      <c r="S114" s="20"/>
      <c r="T114" s="20"/>
      <c r="U114" s="20"/>
      <c r="V114" s="20"/>
      <c r="W114" s="20"/>
      <c r="X114" s="20"/>
      <c r="Y114" s="20"/>
      <c r="Z114" s="20"/>
      <c r="AA114" s="20"/>
    </row>
    <row r="115" spans="1:27" ht="12.75" x14ac:dyDescent="0.2">
      <c r="A115" s="20"/>
      <c r="R115" s="20"/>
      <c r="S115" s="20"/>
      <c r="T115" s="20"/>
      <c r="U115" s="20"/>
      <c r="V115" s="20"/>
      <c r="W115" s="20"/>
      <c r="X115" s="20"/>
      <c r="Y115" s="20"/>
      <c r="Z115" s="20"/>
      <c r="AA115" s="20"/>
    </row>
    <row r="116" spans="1:27" ht="12.75" x14ac:dyDescent="0.2">
      <c r="A116" s="20"/>
      <c r="R116" s="20"/>
      <c r="S116" s="20"/>
      <c r="T116" s="20"/>
      <c r="U116" s="20"/>
      <c r="V116" s="20"/>
      <c r="W116" s="20"/>
      <c r="X116" s="20"/>
      <c r="Y116" s="20"/>
      <c r="Z116" s="20"/>
      <c r="AA116" s="20"/>
    </row>
    <row r="117" spans="1:27" ht="12.75" x14ac:dyDescent="0.2">
      <c r="A117" s="20"/>
      <c r="R117" s="20"/>
      <c r="S117" s="20"/>
      <c r="T117" s="20"/>
      <c r="U117" s="20"/>
      <c r="V117" s="20"/>
      <c r="W117" s="20"/>
      <c r="X117" s="20"/>
      <c r="Y117" s="20"/>
      <c r="Z117" s="20"/>
      <c r="AA117" s="20"/>
    </row>
    <row r="118" spans="1:27" ht="12.75" x14ac:dyDescent="0.2">
      <c r="A118" s="20"/>
      <c r="R118" s="20"/>
      <c r="S118" s="20"/>
      <c r="T118" s="20"/>
      <c r="U118" s="20"/>
      <c r="V118" s="20"/>
      <c r="W118" s="20"/>
      <c r="X118" s="20"/>
      <c r="Y118" s="20"/>
      <c r="Z118" s="20"/>
      <c r="AA118" s="20"/>
    </row>
    <row r="119" spans="1:27" ht="12.75" x14ac:dyDescent="0.2">
      <c r="A119" s="20"/>
      <c r="R119" s="20"/>
      <c r="S119" s="20"/>
      <c r="T119" s="20"/>
      <c r="U119" s="20"/>
      <c r="V119" s="20"/>
      <c r="W119" s="20"/>
      <c r="X119" s="20"/>
      <c r="Y119" s="20"/>
      <c r="Z119" s="20"/>
      <c r="AA119" s="20"/>
    </row>
    <row r="120" spans="1:27" ht="12.75" x14ac:dyDescent="0.2">
      <c r="A120" s="20"/>
      <c r="R120" s="20"/>
      <c r="S120" s="20"/>
      <c r="T120" s="20"/>
      <c r="U120" s="20"/>
      <c r="V120" s="20"/>
      <c r="W120" s="20"/>
      <c r="X120" s="20"/>
      <c r="Y120" s="20"/>
      <c r="Z120" s="20"/>
      <c r="AA120" s="20"/>
    </row>
    <row r="121" spans="1:27" ht="12.75" x14ac:dyDescent="0.2">
      <c r="A121" s="20"/>
      <c r="R121" s="20"/>
      <c r="S121" s="20"/>
      <c r="T121" s="20"/>
      <c r="U121" s="20"/>
      <c r="V121" s="20"/>
      <c r="W121" s="20"/>
      <c r="X121" s="20"/>
      <c r="Y121" s="20"/>
      <c r="Z121" s="20"/>
      <c r="AA121" s="20"/>
    </row>
    <row r="122" spans="1:27" ht="12.75" x14ac:dyDescent="0.2">
      <c r="A122" s="20"/>
      <c r="R122" s="20"/>
      <c r="S122" s="20"/>
      <c r="T122" s="20"/>
      <c r="U122" s="20"/>
      <c r="V122" s="20"/>
      <c r="W122" s="20"/>
      <c r="X122" s="20"/>
      <c r="Y122" s="20"/>
      <c r="Z122" s="20"/>
      <c r="AA122" s="20"/>
    </row>
    <row r="123" spans="1:27" ht="12.75" x14ac:dyDescent="0.2">
      <c r="A123" s="20"/>
      <c r="R123" s="20"/>
      <c r="S123" s="20"/>
      <c r="T123" s="20"/>
      <c r="U123" s="20"/>
      <c r="V123" s="20"/>
      <c r="W123" s="20"/>
      <c r="X123" s="20"/>
      <c r="Y123" s="20"/>
      <c r="Z123" s="20"/>
      <c r="AA123" s="20"/>
    </row>
    <row r="124" spans="1:27" ht="12.75" x14ac:dyDescent="0.2">
      <c r="A124" s="20"/>
      <c r="R124" s="20"/>
      <c r="S124" s="20"/>
      <c r="T124" s="20"/>
      <c r="U124" s="20"/>
      <c r="V124" s="20"/>
      <c r="W124" s="20"/>
      <c r="X124" s="20"/>
      <c r="Y124" s="20"/>
      <c r="Z124" s="20"/>
      <c r="AA124" s="20"/>
    </row>
    <row r="125" spans="1:27" ht="12.75" x14ac:dyDescent="0.2">
      <c r="A125" s="20"/>
      <c r="R125" s="20"/>
      <c r="S125" s="20"/>
      <c r="T125" s="20"/>
      <c r="U125" s="20"/>
      <c r="V125" s="20"/>
      <c r="W125" s="20"/>
      <c r="X125" s="20"/>
      <c r="Y125" s="20"/>
      <c r="Z125" s="20"/>
      <c r="AA125" s="20"/>
    </row>
    <row r="126" spans="1:27" ht="12.75" x14ac:dyDescent="0.2">
      <c r="A126" s="20"/>
      <c r="R126" s="20"/>
      <c r="S126" s="20"/>
      <c r="T126" s="20"/>
      <c r="U126" s="20"/>
      <c r="V126" s="20"/>
      <c r="W126" s="20"/>
      <c r="X126" s="20"/>
      <c r="Y126" s="20"/>
      <c r="Z126" s="20"/>
      <c r="AA126" s="20"/>
    </row>
    <row r="127" spans="1:27" ht="12.75" x14ac:dyDescent="0.2">
      <c r="A127" s="20"/>
      <c r="R127" s="20"/>
      <c r="S127" s="20"/>
      <c r="T127" s="20"/>
      <c r="U127" s="20"/>
      <c r="V127" s="20"/>
      <c r="W127" s="20"/>
      <c r="X127" s="20"/>
      <c r="Y127" s="20"/>
      <c r="Z127" s="20"/>
      <c r="AA127" s="20"/>
    </row>
    <row r="128" spans="1:27" ht="12.75" x14ac:dyDescent="0.2">
      <c r="A128" s="20"/>
      <c r="R128" s="20"/>
      <c r="S128" s="20"/>
      <c r="T128" s="20"/>
      <c r="U128" s="20"/>
      <c r="V128" s="20"/>
      <c r="W128" s="20"/>
      <c r="X128" s="20"/>
      <c r="Y128" s="20"/>
      <c r="Z128" s="20"/>
      <c r="AA128" s="20"/>
    </row>
    <row r="129" spans="1:27" ht="26.25" x14ac:dyDescent="0.4">
      <c r="A129" s="20"/>
      <c r="L129" s="27" t="s">
        <v>14</v>
      </c>
      <c r="M129" s="26"/>
      <c r="N129" s="26"/>
      <c r="O129" s="26"/>
      <c r="P129" s="26"/>
      <c r="R129" s="20"/>
      <c r="S129" s="20"/>
      <c r="T129" s="20"/>
      <c r="U129" s="20"/>
      <c r="V129" s="20"/>
      <c r="W129" s="20"/>
      <c r="X129" s="20"/>
      <c r="Y129" s="20"/>
      <c r="Z129" s="20"/>
      <c r="AA129" s="20"/>
    </row>
    <row r="130" spans="1:27" ht="12.75" x14ac:dyDescent="0.2">
      <c r="A130" s="20"/>
      <c r="R130" s="20"/>
      <c r="S130" s="20"/>
      <c r="T130" s="20"/>
      <c r="U130" s="20"/>
      <c r="V130" s="20"/>
      <c r="W130" s="20"/>
      <c r="X130" s="20"/>
      <c r="Y130" s="20"/>
      <c r="Z130" s="20"/>
      <c r="AA130" s="20"/>
    </row>
    <row r="131" spans="1:27" ht="12.75" x14ac:dyDescent="0.2">
      <c r="A131" s="20"/>
      <c r="R131" s="20"/>
      <c r="S131" s="20"/>
      <c r="T131" s="20"/>
      <c r="U131" s="20"/>
      <c r="V131" s="20"/>
      <c r="W131" s="20"/>
      <c r="X131" s="20"/>
      <c r="Y131" s="20"/>
      <c r="Z131" s="20"/>
      <c r="AA131" s="20"/>
    </row>
    <row r="132" spans="1:27" ht="12.75" x14ac:dyDescent="0.2">
      <c r="A132" s="20"/>
      <c r="R132" s="20"/>
      <c r="S132" s="20"/>
      <c r="T132" s="20"/>
      <c r="U132" s="20"/>
      <c r="V132" s="20"/>
      <c r="W132" s="20"/>
      <c r="X132" s="20"/>
      <c r="Y132" s="20"/>
      <c r="Z132" s="20"/>
      <c r="AA132" s="20"/>
    </row>
    <row r="133" spans="1:27" ht="12.75" x14ac:dyDescent="0.2">
      <c r="A133" s="20"/>
      <c r="R133" s="20"/>
      <c r="S133" s="20"/>
      <c r="T133" s="20"/>
      <c r="U133" s="20"/>
      <c r="V133" s="20"/>
      <c r="W133" s="20"/>
      <c r="X133" s="20"/>
      <c r="Y133" s="20"/>
      <c r="Z133" s="20"/>
      <c r="AA133" s="20"/>
    </row>
    <row r="134" spans="1:27" ht="12.75" x14ac:dyDescent="0.2">
      <c r="A134" s="20"/>
      <c r="R134" s="20"/>
      <c r="S134" s="20"/>
      <c r="T134" s="20"/>
      <c r="U134" s="20"/>
      <c r="V134" s="20"/>
      <c r="W134" s="20"/>
      <c r="X134" s="20"/>
      <c r="Y134" s="20"/>
      <c r="Z134" s="20"/>
      <c r="AA134" s="20"/>
    </row>
    <row r="135" spans="1:27" ht="12.75" x14ac:dyDescent="0.2">
      <c r="A135" s="20"/>
      <c r="R135" s="20"/>
      <c r="S135" s="20"/>
      <c r="T135" s="20"/>
      <c r="U135" s="20"/>
      <c r="V135" s="20"/>
      <c r="W135" s="20"/>
      <c r="X135" s="20"/>
      <c r="Y135" s="20"/>
      <c r="Z135" s="20"/>
      <c r="AA135" s="20"/>
    </row>
    <row r="136" spans="1:27" ht="12.75" x14ac:dyDescent="0.2">
      <c r="A136" s="20"/>
      <c r="R136" s="20"/>
      <c r="S136" s="20"/>
      <c r="T136" s="20"/>
      <c r="U136" s="20"/>
      <c r="V136" s="20"/>
      <c r="W136" s="20"/>
      <c r="X136" s="20"/>
      <c r="Y136" s="20"/>
      <c r="Z136" s="20"/>
      <c r="AA136" s="20"/>
    </row>
    <row r="137" spans="1:27" ht="12.75" x14ac:dyDescent="0.2">
      <c r="A137" s="20"/>
      <c r="R137" s="20"/>
      <c r="S137" s="20"/>
      <c r="T137" s="20"/>
      <c r="U137" s="20"/>
      <c r="V137" s="20"/>
      <c r="W137" s="20"/>
      <c r="X137" s="20"/>
      <c r="Y137" s="20"/>
      <c r="Z137" s="20"/>
      <c r="AA137" s="20"/>
    </row>
    <row r="138" spans="1:27" ht="12.75" x14ac:dyDescent="0.2">
      <c r="A138" s="20"/>
      <c r="R138" s="20"/>
      <c r="S138" s="20"/>
      <c r="T138" s="20"/>
      <c r="U138" s="20"/>
      <c r="V138" s="20"/>
      <c r="W138" s="20"/>
      <c r="X138" s="20"/>
      <c r="Y138" s="20"/>
      <c r="Z138" s="20"/>
      <c r="AA138" s="20"/>
    </row>
    <row r="139" spans="1:27" ht="12.75" x14ac:dyDescent="0.2">
      <c r="A139" s="20"/>
      <c r="R139" s="20"/>
      <c r="S139" s="20"/>
      <c r="T139" s="20"/>
      <c r="U139" s="20"/>
      <c r="V139" s="20"/>
      <c r="W139" s="20"/>
      <c r="X139" s="20"/>
      <c r="Y139" s="20"/>
      <c r="Z139" s="20"/>
      <c r="AA139" s="20"/>
    </row>
    <row r="140" spans="1:27" ht="12.75" x14ac:dyDescent="0.2">
      <c r="A140" s="20"/>
      <c r="R140" s="20"/>
      <c r="S140" s="20"/>
      <c r="T140" s="20"/>
      <c r="U140" s="20"/>
      <c r="V140" s="20"/>
      <c r="W140" s="20"/>
      <c r="X140" s="20"/>
      <c r="Y140" s="20"/>
      <c r="Z140" s="20"/>
      <c r="AA140" s="20"/>
    </row>
    <row r="141" spans="1:27" ht="12.75" x14ac:dyDescent="0.2">
      <c r="A141" s="20"/>
      <c r="R141" s="20"/>
      <c r="S141" s="20"/>
      <c r="T141" s="20"/>
      <c r="U141" s="20"/>
      <c r="V141" s="20"/>
      <c r="W141" s="20"/>
      <c r="X141" s="20"/>
      <c r="Y141" s="20"/>
      <c r="Z141" s="20"/>
      <c r="AA141" s="20"/>
    </row>
    <row r="142" spans="1:27" ht="12.75" x14ac:dyDescent="0.2">
      <c r="A142" s="20"/>
      <c r="R142" s="20"/>
      <c r="S142" s="20"/>
      <c r="T142" s="20"/>
      <c r="U142" s="20"/>
      <c r="V142" s="20"/>
      <c r="W142" s="20"/>
      <c r="X142" s="20"/>
      <c r="Y142" s="20"/>
      <c r="Z142" s="20"/>
      <c r="AA142" s="20"/>
    </row>
    <row r="143" spans="1:27" ht="12.75" x14ac:dyDescent="0.2">
      <c r="A143" s="20"/>
      <c r="R143" s="20"/>
      <c r="S143" s="20"/>
      <c r="T143" s="20"/>
      <c r="U143" s="20"/>
      <c r="V143" s="20"/>
      <c r="W143" s="20"/>
      <c r="X143" s="20"/>
      <c r="Y143" s="20"/>
      <c r="Z143" s="20"/>
      <c r="AA143" s="20"/>
    </row>
    <row r="144" spans="1:27" ht="12.75" x14ac:dyDescent="0.2">
      <c r="A144" s="20"/>
      <c r="R144" s="20"/>
      <c r="S144" s="20"/>
      <c r="T144" s="20"/>
      <c r="U144" s="20"/>
      <c r="V144" s="20"/>
      <c r="W144" s="20"/>
      <c r="X144" s="20"/>
      <c r="Y144" s="20"/>
      <c r="Z144" s="20"/>
      <c r="AA144" s="20"/>
    </row>
    <row r="145" spans="1:27" ht="12.75" x14ac:dyDescent="0.2">
      <c r="A145" s="20"/>
      <c r="R145" s="20"/>
      <c r="S145" s="20"/>
      <c r="T145" s="20"/>
      <c r="U145" s="20"/>
      <c r="V145" s="20"/>
      <c r="W145" s="20"/>
      <c r="X145" s="20"/>
      <c r="Y145" s="20"/>
      <c r="Z145" s="20"/>
      <c r="AA145" s="20"/>
    </row>
    <row r="146" spans="1:27" ht="12.75" x14ac:dyDescent="0.2">
      <c r="A146" s="20"/>
      <c r="R146" s="20"/>
      <c r="S146" s="20"/>
      <c r="T146" s="20"/>
      <c r="U146" s="20"/>
      <c r="V146" s="20"/>
      <c r="W146" s="20"/>
      <c r="X146" s="20"/>
      <c r="Y146" s="20"/>
      <c r="Z146" s="20"/>
      <c r="AA146" s="20"/>
    </row>
    <row r="147" spans="1:27" ht="12.75" x14ac:dyDescent="0.2">
      <c r="A147" s="20"/>
      <c r="R147" s="20"/>
      <c r="S147" s="20"/>
      <c r="T147" s="20"/>
      <c r="U147" s="20"/>
      <c r="V147" s="20"/>
      <c r="W147" s="20"/>
      <c r="X147" s="20"/>
      <c r="Y147" s="20"/>
      <c r="Z147" s="20"/>
      <c r="AA147" s="20"/>
    </row>
    <row r="148" spans="1:27" ht="12.75" x14ac:dyDescent="0.2">
      <c r="A148" s="20"/>
      <c r="R148" s="20"/>
      <c r="S148" s="20"/>
      <c r="T148" s="20"/>
      <c r="U148" s="20"/>
      <c r="V148" s="20"/>
      <c r="W148" s="20"/>
      <c r="X148" s="20"/>
      <c r="Y148" s="20"/>
      <c r="Z148" s="20"/>
      <c r="AA148" s="20"/>
    </row>
    <row r="149" spans="1:27" ht="12.75" x14ac:dyDescent="0.2">
      <c r="A149" s="20"/>
      <c r="R149" s="20"/>
      <c r="S149" s="20"/>
      <c r="T149" s="20"/>
      <c r="U149" s="20"/>
      <c r="V149" s="20"/>
      <c r="W149" s="20"/>
      <c r="X149" s="20"/>
      <c r="Y149" s="20"/>
      <c r="Z149" s="20"/>
      <c r="AA149" s="20"/>
    </row>
    <row r="150" spans="1:27" ht="12.75" x14ac:dyDescent="0.2">
      <c r="A150" s="20"/>
      <c r="R150" s="20"/>
      <c r="S150" s="20"/>
      <c r="T150" s="20"/>
      <c r="U150" s="20"/>
      <c r="V150" s="20"/>
      <c r="W150" s="20"/>
      <c r="X150" s="20"/>
      <c r="Y150" s="20"/>
      <c r="Z150" s="20"/>
      <c r="AA150" s="20"/>
    </row>
    <row r="151" spans="1:27" ht="12.75" x14ac:dyDescent="0.2">
      <c r="A151" s="20"/>
      <c r="R151" s="20"/>
      <c r="S151" s="20"/>
      <c r="T151" s="20"/>
      <c r="U151" s="20"/>
      <c r="V151" s="20"/>
      <c r="W151" s="20"/>
      <c r="X151" s="20"/>
      <c r="Y151" s="20"/>
      <c r="Z151" s="20"/>
      <c r="AA151" s="20"/>
    </row>
    <row r="152" spans="1:27" ht="12.75" x14ac:dyDescent="0.2">
      <c r="A152" s="20"/>
      <c r="R152" s="20"/>
      <c r="S152" s="20"/>
      <c r="T152" s="20"/>
      <c r="U152" s="20"/>
      <c r="V152" s="20"/>
      <c r="W152" s="20"/>
      <c r="X152" s="20"/>
      <c r="Y152" s="20"/>
      <c r="Z152" s="20"/>
      <c r="AA152" s="20"/>
    </row>
    <row r="153" spans="1:27" ht="12.75" x14ac:dyDescent="0.2">
      <c r="A153" s="20"/>
      <c r="R153" s="20"/>
      <c r="S153" s="20"/>
      <c r="T153" s="20"/>
      <c r="U153" s="20"/>
      <c r="V153" s="20"/>
      <c r="W153" s="20"/>
      <c r="X153" s="20"/>
      <c r="Y153" s="20"/>
      <c r="Z153" s="20"/>
      <c r="AA153" s="20"/>
    </row>
    <row r="154" spans="1:27" ht="12.75" x14ac:dyDescent="0.2">
      <c r="A154" s="20"/>
      <c r="R154" s="20"/>
      <c r="S154" s="20"/>
      <c r="T154" s="20"/>
      <c r="U154" s="20"/>
      <c r="V154" s="20"/>
      <c r="W154" s="20"/>
      <c r="X154" s="20"/>
      <c r="Y154" s="20"/>
      <c r="Z154" s="20"/>
      <c r="AA154" s="20"/>
    </row>
    <row r="155" spans="1:27" ht="26.25" x14ac:dyDescent="0.4">
      <c r="A155" s="20"/>
      <c r="L155" s="27" t="s">
        <v>5</v>
      </c>
      <c r="M155" s="26"/>
      <c r="N155" s="26"/>
      <c r="O155" s="26"/>
      <c r="P155" s="26"/>
      <c r="R155" s="20"/>
      <c r="S155" s="20"/>
      <c r="T155" s="20"/>
      <c r="U155" s="20"/>
      <c r="V155" s="20"/>
      <c r="W155" s="20"/>
      <c r="X155" s="20"/>
      <c r="Y155" s="20"/>
      <c r="Z155" s="20"/>
      <c r="AA155" s="20"/>
    </row>
    <row r="156" spans="1:27" ht="12.75" x14ac:dyDescent="0.2">
      <c r="A156" s="20"/>
      <c r="R156" s="20"/>
      <c r="S156" s="20"/>
      <c r="T156" s="20"/>
      <c r="U156" s="20"/>
      <c r="V156" s="20"/>
      <c r="W156" s="20"/>
      <c r="X156" s="20"/>
      <c r="Y156" s="20"/>
      <c r="Z156" s="20"/>
      <c r="AA156" s="20"/>
    </row>
    <row r="157" spans="1:27" ht="12.75" x14ac:dyDescent="0.2">
      <c r="A157" s="20"/>
      <c r="R157" s="20"/>
      <c r="S157" s="20"/>
      <c r="T157" s="20"/>
      <c r="U157" s="20"/>
      <c r="V157" s="20"/>
      <c r="W157" s="20"/>
      <c r="X157" s="20"/>
      <c r="Y157" s="20"/>
      <c r="Z157" s="20"/>
      <c r="AA157" s="20"/>
    </row>
    <row r="158" spans="1:27" ht="12.75" x14ac:dyDescent="0.2">
      <c r="A158" s="20"/>
      <c r="R158" s="20"/>
      <c r="S158" s="20"/>
      <c r="T158" s="20"/>
      <c r="U158" s="20"/>
      <c r="V158" s="20"/>
      <c r="W158" s="20"/>
      <c r="X158" s="20"/>
      <c r="Y158" s="20"/>
      <c r="Z158" s="20"/>
      <c r="AA158" s="20"/>
    </row>
    <row r="159" spans="1:27" ht="12.75" x14ac:dyDescent="0.2">
      <c r="A159" s="20"/>
      <c r="R159" s="20"/>
      <c r="S159" s="20"/>
      <c r="T159" s="20"/>
      <c r="U159" s="20"/>
      <c r="V159" s="20"/>
      <c r="W159" s="20"/>
      <c r="X159" s="20"/>
      <c r="Y159" s="20"/>
      <c r="Z159" s="20"/>
      <c r="AA159" s="20"/>
    </row>
    <row r="160" spans="1:27" ht="12.75" x14ac:dyDescent="0.2">
      <c r="A160" s="20"/>
      <c r="R160" s="20"/>
      <c r="S160" s="20"/>
      <c r="T160" s="20"/>
      <c r="U160" s="20"/>
      <c r="V160" s="20"/>
      <c r="W160" s="20"/>
      <c r="X160" s="20"/>
      <c r="Y160" s="20"/>
      <c r="Z160" s="20"/>
      <c r="AA160" s="20"/>
    </row>
    <row r="161" spans="1:27" ht="12.75" x14ac:dyDescent="0.2">
      <c r="A161" s="20"/>
      <c r="R161" s="20"/>
      <c r="S161" s="20"/>
      <c r="T161" s="20"/>
      <c r="U161" s="20"/>
      <c r="V161" s="20"/>
      <c r="W161" s="20"/>
      <c r="X161" s="20"/>
      <c r="Y161" s="20"/>
      <c r="Z161" s="20"/>
      <c r="AA161" s="20"/>
    </row>
    <row r="162" spans="1:27" ht="12.75" x14ac:dyDescent="0.2">
      <c r="A162" s="20"/>
      <c r="R162" s="20"/>
      <c r="S162" s="20"/>
      <c r="T162" s="20"/>
      <c r="U162" s="20"/>
      <c r="V162" s="20"/>
      <c r="W162" s="20"/>
      <c r="X162" s="20"/>
      <c r="Y162" s="20"/>
      <c r="Z162" s="20"/>
      <c r="AA162" s="20"/>
    </row>
    <row r="163" spans="1:27" ht="12.75" x14ac:dyDescent="0.2">
      <c r="A163" s="20"/>
      <c r="R163" s="20"/>
      <c r="S163" s="20"/>
      <c r="T163" s="20"/>
      <c r="U163" s="20"/>
      <c r="V163" s="20"/>
      <c r="W163" s="20"/>
      <c r="X163" s="20"/>
      <c r="Y163" s="20"/>
      <c r="Z163" s="20"/>
      <c r="AA163" s="20"/>
    </row>
    <row r="164" spans="1:27" ht="12.75" x14ac:dyDescent="0.2">
      <c r="A164" s="20"/>
      <c r="R164" s="20"/>
      <c r="S164" s="20"/>
      <c r="T164" s="20"/>
      <c r="U164" s="20"/>
      <c r="V164" s="20"/>
      <c r="W164" s="20"/>
      <c r="X164" s="20"/>
      <c r="Y164" s="20"/>
      <c r="Z164" s="20"/>
      <c r="AA164" s="20"/>
    </row>
    <row r="165" spans="1:27" ht="12.75" x14ac:dyDescent="0.2">
      <c r="A165" s="20"/>
      <c r="R165" s="20"/>
      <c r="S165" s="20"/>
      <c r="T165" s="20"/>
      <c r="U165" s="20"/>
      <c r="V165" s="20"/>
      <c r="W165" s="20"/>
      <c r="X165" s="20"/>
      <c r="Y165" s="20"/>
      <c r="Z165" s="20"/>
      <c r="AA165" s="20"/>
    </row>
    <row r="166" spans="1:27" ht="12.75" x14ac:dyDescent="0.2">
      <c r="A166" s="20"/>
      <c r="R166" s="20"/>
      <c r="S166" s="20"/>
      <c r="T166" s="20"/>
      <c r="U166" s="20"/>
      <c r="V166" s="20"/>
      <c r="W166" s="20"/>
      <c r="X166" s="20"/>
      <c r="Y166" s="20"/>
      <c r="Z166" s="20"/>
      <c r="AA166" s="20"/>
    </row>
    <row r="167" spans="1:27" ht="12.75" x14ac:dyDescent="0.2">
      <c r="A167" s="20"/>
      <c r="R167" s="20"/>
      <c r="S167" s="20"/>
      <c r="T167" s="20"/>
      <c r="U167" s="20"/>
      <c r="V167" s="20"/>
      <c r="W167" s="20"/>
      <c r="X167" s="20"/>
      <c r="Y167" s="20"/>
      <c r="Z167" s="20"/>
      <c r="AA167" s="20"/>
    </row>
    <row r="168" spans="1:27" ht="12.75" x14ac:dyDescent="0.2">
      <c r="A168" s="20"/>
      <c r="R168" s="20"/>
      <c r="S168" s="20"/>
      <c r="T168" s="20"/>
      <c r="U168" s="20"/>
      <c r="V168" s="20"/>
      <c r="W168" s="20"/>
      <c r="X168" s="20"/>
      <c r="Y168" s="20"/>
      <c r="Z168" s="20"/>
      <c r="AA168" s="20"/>
    </row>
    <row r="169" spans="1:27" ht="12.75" x14ac:dyDescent="0.2">
      <c r="A169" s="20"/>
      <c r="R169" s="20"/>
      <c r="S169" s="20"/>
      <c r="T169" s="20"/>
      <c r="U169" s="20"/>
      <c r="V169" s="20"/>
      <c r="W169" s="20"/>
      <c r="X169" s="20"/>
      <c r="Y169" s="20"/>
      <c r="Z169" s="20"/>
      <c r="AA169" s="20"/>
    </row>
    <row r="170" spans="1:27" ht="12.75" x14ac:dyDescent="0.2">
      <c r="A170" s="20"/>
      <c r="R170" s="20"/>
      <c r="S170" s="20"/>
      <c r="T170" s="20"/>
      <c r="U170" s="20"/>
      <c r="V170" s="20"/>
      <c r="W170" s="20"/>
      <c r="X170" s="20"/>
      <c r="Y170" s="20"/>
      <c r="Z170" s="20"/>
      <c r="AA170" s="20"/>
    </row>
    <row r="171" spans="1:27" ht="12.75" x14ac:dyDescent="0.2">
      <c r="A171" s="20"/>
      <c r="R171" s="20"/>
      <c r="S171" s="20"/>
      <c r="T171" s="20"/>
      <c r="U171" s="20"/>
      <c r="V171" s="20"/>
      <c r="W171" s="20"/>
      <c r="X171" s="20"/>
      <c r="Y171" s="20"/>
      <c r="Z171" s="20"/>
      <c r="AA171" s="20"/>
    </row>
    <row r="172" spans="1:27" ht="12.75" x14ac:dyDescent="0.2">
      <c r="A172" s="20"/>
      <c r="R172" s="20"/>
      <c r="S172" s="20"/>
      <c r="T172" s="20"/>
      <c r="U172" s="20"/>
      <c r="V172" s="20"/>
      <c r="W172" s="20"/>
      <c r="X172" s="20"/>
      <c r="Y172" s="20"/>
      <c r="Z172" s="20"/>
      <c r="AA172" s="20"/>
    </row>
    <row r="173" spans="1:27" ht="12.75" x14ac:dyDescent="0.2">
      <c r="A173" s="20"/>
      <c r="R173" s="20"/>
      <c r="S173" s="20"/>
      <c r="T173" s="20"/>
      <c r="U173" s="20"/>
      <c r="V173" s="20"/>
      <c r="W173" s="20"/>
      <c r="X173" s="20"/>
      <c r="Y173" s="20"/>
      <c r="Z173" s="20"/>
      <c r="AA173" s="20"/>
    </row>
    <row r="174" spans="1:27" ht="12.75" x14ac:dyDescent="0.2">
      <c r="A174" s="20"/>
      <c r="R174" s="20"/>
      <c r="S174" s="20"/>
      <c r="T174" s="20"/>
      <c r="U174" s="20"/>
      <c r="V174" s="20"/>
      <c r="W174" s="20"/>
      <c r="X174" s="20"/>
      <c r="Y174" s="20"/>
      <c r="Z174" s="20"/>
      <c r="AA174" s="20"/>
    </row>
    <row r="175" spans="1:27" ht="12.75" x14ac:dyDescent="0.2">
      <c r="A175" s="20"/>
      <c r="R175" s="20"/>
      <c r="S175" s="20"/>
      <c r="T175" s="20"/>
      <c r="U175" s="20"/>
      <c r="V175" s="20"/>
      <c r="W175" s="20"/>
      <c r="X175" s="20"/>
      <c r="Y175" s="20"/>
      <c r="Z175" s="20"/>
      <c r="AA175" s="20"/>
    </row>
    <row r="176" spans="1:27" ht="12.75" x14ac:dyDescent="0.2">
      <c r="A176" s="20"/>
      <c r="R176" s="20"/>
      <c r="S176" s="20"/>
      <c r="T176" s="20"/>
      <c r="U176" s="20"/>
      <c r="V176" s="20"/>
      <c r="W176" s="20"/>
      <c r="X176" s="20"/>
      <c r="Y176" s="20"/>
      <c r="Z176" s="20"/>
      <c r="AA176" s="20"/>
    </row>
    <row r="177" spans="1:27" ht="12.75" x14ac:dyDescent="0.2">
      <c r="A177" s="20"/>
      <c r="R177" s="20"/>
      <c r="S177" s="20"/>
      <c r="T177" s="20"/>
      <c r="U177" s="20"/>
      <c r="V177" s="20"/>
      <c r="W177" s="20"/>
      <c r="X177" s="20"/>
      <c r="Y177" s="20"/>
      <c r="Z177" s="20"/>
      <c r="AA177" s="20"/>
    </row>
    <row r="178" spans="1:27" ht="12.75" x14ac:dyDescent="0.2">
      <c r="A178" s="20"/>
      <c r="R178" s="20"/>
      <c r="S178" s="20"/>
      <c r="T178" s="20"/>
      <c r="U178" s="20"/>
      <c r="V178" s="20"/>
      <c r="W178" s="20"/>
      <c r="X178" s="20"/>
      <c r="Y178" s="20"/>
      <c r="Z178" s="20"/>
      <c r="AA178" s="20"/>
    </row>
    <row r="179" spans="1:27" ht="12.75" x14ac:dyDescent="0.2">
      <c r="A179" s="20"/>
      <c r="R179" s="20"/>
      <c r="S179" s="20"/>
      <c r="T179" s="20"/>
      <c r="U179" s="20"/>
      <c r="V179" s="20"/>
      <c r="W179" s="20"/>
      <c r="X179" s="20"/>
      <c r="Y179" s="20"/>
      <c r="Z179" s="20"/>
      <c r="AA179" s="20"/>
    </row>
    <row r="180" spans="1:27" ht="12.75" x14ac:dyDescent="0.2">
      <c r="A180" s="20"/>
      <c r="R180" s="20"/>
      <c r="S180" s="20"/>
      <c r="T180" s="20"/>
      <c r="U180" s="20"/>
      <c r="V180" s="20"/>
      <c r="W180" s="20"/>
      <c r="X180" s="20"/>
      <c r="Y180" s="20"/>
      <c r="Z180" s="20"/>
      <c r="AA180" s="20"/>
    </row>
    <row r="181" spans="1:27" ht="12.75" x14ac:dyDescent="0.2">
      <c r="A181" s="20"/>
      <c r="R181" s="20"/>
      <c r="S181" s="20"/>
      <c r="T181" s="20"/>
      <c r="U181" s="20"/>
      <c r="V181" s="20"/>
      <c r="W181" s="20"/>
      <c r="X181" s="20"/>
      <c r="Y181" s="20"/>
      <c r="Z181" s="20"/>
      <c r="AA181" s="20"/>
    </row>
    <row r="182" spans="1:27" ht="12.75" x14ac:dyDescent="0.2">
      <c r="A182" s="20"/>
      <c r="R182" s="20"/>
      <c r="S182" s="20"/>
      <c r="T182" s="20"/>
      <c r="U182" s="20"/>
      <c r="V182" s="20"/>
      <c r="W182" s="20"/>
      <c r="X182" s="20"/>
      <c r="Y182" s="20"/>
      <c r="Z182" s="20"/>
      <c r="AA182" s="20"/>
    </row>
    <row r="183" spans="1:27" ht="12.75" x14ac:dyDescent="0.2">
      <c r="A183" s="20"/>
      <c r="R183" s="20"/>
      <c r="S183" s="20"/>
      <c r="T183" s="20"/>
      <c r="U183" s="20"/>
      <c r="V183" s="20"/>
      <c r="W183" s="20"/>
      <c r="X183" s="20"/>
      <c r="Y183" s="20"/>
      <c r="Z183" s="20"/>
      <c r="AA183" s="20"/>
    </row>
    <row r="184" spans="1:27" ht="12.75" x14ac:dyDescent="0.2">
      <c r="A184" s="20"/>
      <c r="R184" s="20"/>
      <c r="S184" s="20"/>
      <c r="T184" s="20"/>
      <c r="U184" s="20"/>
      <c r="V184" s="20"/>
      <c r="W184" s="20"/>
      <c r="X184" s="20"/>
      <c r="Y184" s="20"/>
      <c r="Z184" s="20"/>
      <c r="AA184" s="20"/>
    </row>
    <row r="185" spans="1:27" ht="12.75" x14ac:dyDescent="0.2">
      <c r="A185" s="20"/>
      <c r="R185" s="20"/>
      <c r="S185" s="20"/>
      <c r="T185" s="20"/>
      <c r="U185" s="20"/>
      <c r="V185" s="20"/>
      <c r="W185" s="20"/>
      <c r="X185" s="20"/>
      <c r="Y185" s="20"/>
      <c r="Z185" s="20"/>
      <c r="AA185" s="20"/>
    </row>
    <row r="186" spans="1:27" ht="12.75" x14ac:dyDescent="0.2">
      <c r="A186" s="20"/>
      <c r="R186" s="20"/>
      <c r="S186" s="20"/>
      <c r="T186" s="20"/>
      <c r="U186" s="20"/>
      <c r="V186" s="20"/>
      <c r="W186" s="20"/>
      <c r="X186" s="20"/>
      <c r="Y186" s="20"/>
      <c r="Z186" s="20"/>
      <c r="AA186" s="20"/>
    </row>
    <row r="187" spans="1:27" ht="12.75" x14ac:dyDescent="0.2">
      <c r="A187" s="20"/>
      <c r="R187" s="20"/>
      <c r="S187" s="20"/>
      <c r="T187" s="20"/>
      <c r="U187" s="20"/>
      <c r="V187" s="20"/>
      <c r="W187" s="20"/>
      <c r="X187" s="20"/>
      <c r="Y187" s="20"/>
      <c r="Z187" s="20"/>
      <c r="AA187" s="20"/>
    </row>
    <row r="188" spans="1:27" ht="12.75" x14ac:dyDescent="0.2">
      <c r="A188" s="20"/>
      <c r="R188" s="20"/>
      <c r="S188" s="20"/>
      <c r="T188" s="20"/>
      <c r="U188" s="20"/>
      <c r="V188" s="20"/>
      <c r="W188" s="20"/>
      <c r="X188" s="20"/>
      <c r="Y188" s="20"/>
      <c r="Z188" s="20"/>
      <c r="AA188" s="20"/>
    </row>
    <row r="189" spans="1:27" ht="12.75" x14ac:dyDescent="0.2">
      <c r="A189" s="20"/>
      <c r="R189" s="20"/>
      <c r="S189" s="20"/>
      <c r="T189" s="20"/>
      <c r="U189" s="20"/>
      <c r="V189" s="20"/>
      <c r="W189" s="20"/>
      <c r="X189" s="20"/>
      <c r="Y189" s="20"/>
      <c r="Z189" s="20"/>
      <c r="AA189" s="20"/>
    </row>
    <row r="190" spans="1:27" ht="12.75" x14ac:dyDescent="0.2">
      <c r="A190" s="20"/>
      <c r="R190" s="20"/>
      <c r="S190" s="20"/>
      <c r="T190" s="20"/>
      <c r="U190" s="20"/>
      <c r="V190" s="20"/>
      <c r="W190" s="20"/>
      <c r="X190" s="20"/>
      <c r="Y190" s="20"/>
      <c r="Z190" s="20"/>
      <c r="AA190" s="20"/>
    </row>
    <row r="191" spans="1:27" ht="12.75" x14ac:dyDescent="0.2">
      <c r="A191" s="20"/>
      <c r="R191" s="20"/>
      <c r="S191" s="20"/>
      <c r="T191" s="20"/>
      <c r="U191" s="20"/>
      <c r="V191" s="20"/>
      <c r="W191" s="20"/>
      <c r="X191" s="20"/>
      <c r="Y191" s="20"/>
      <c r="Z191" s="20"/>
      <c r="AA191" s="20"/>
    </row>
    <row r="192" spans="1:27" ht="12.75" x14ac:dyDescent="0.2">
      <c r="A192" s="20"/>
      <c r="R192" s="20"/>
      <c r="S192" s="20"/>
      <c r="T192" s="20"/>
      <c r="U192" s="20"/>
      <c r="V192" s="20"/>
      <c r="W192" s="20"/>
      <c r="X192" s="20"/>
      <c r="Y192" s="20"/>
      <c r="Z192" s="20"/>
      <c r="AA192" s="20"/>
    </row>
    <row r="193" spans="1:27" ht="12.75" x14ac:dyDescent="0.2">
      <c r="A193" s="20"/>
      <c r="R193" s="20"/>
      <c r="S193" s="20"/>
      <c r="T193" s="20"/>
      <c r="U193" s="20"/>
      <c r="V193" s="20"/>
      <c r="W193" s="20"/>
      <c r="X193" s="20"/>
      <c r="Y193" s="20"/>
      <c r="Z193" s="20"/>
      <c r="AA193" s="20"/>
    </row>
    <row r="194" spans="1:27" ht="12.75" x14ac:dyDescent="0.2">
      <c r="A194" s="20"/>
      <c r="R194" s="20"/>
      <c r="S194" s="20"/>
      <c r="T194" s="20"/>
      <c r="U194" s="20"/>
      <c r="V194" s="20"/>
      <c r="W194" s="20"/>
      <c r="X194" s="20"/>
      <c r="Y194" s="20"/>
      <c r="Z194" s="20"/>
      <c r="AA194" s="20"/>
    </row>
    <row r="195" spans="1:27" ht="12.75" x14ac:dyDescent="0.2">
      <c r="A195" s="20"/>
      <c r="R195" s="20"/>
      <c r="S195" s="20"/>
      <c r="T195" s="20"/>
      <c r="U195" s="20"/>
      <c r="V195" s="20"/>
      <c r="W195" s="20"/>
      <c r="X195" s="20"/>
      <c r="Y195" s="20"/>
      <c r="Z195" s="20"/>
      <c r="AA195" s="20"/>
    </row>
    <row r="196" spans="1:27" ht="12.75" x14ac:dyDescent="0.2">
      <c r="A196" s="20"/>
      <c r="R196" s="20"/>
      <c r="S196" s="20"/>
      <c r="T196" s="20"/>
      <c r="U196" s="20"/>
      <c r="V196" s="20"/>
      <c r="W196" s="20"/>
      <c r="X196" s="20"/>
      <c r="Y196" s="20"/>
      <c r="Z196" s="20"/>
      <c r="AA196" s="20"/>
    </row>
    <row r="197" spans="1:27" ht="12.75" x14ac:dyDescent="0.2">
      <c r="A197" s="20"/>
      <c r="R197" s="20"/>
      <c r="S197" s="20"/>
      <c r="T197" s="20"/>
      <c r="U197" s="20"/>
      <c r="V197" s="20"/>
      <c r="W197" s="20"/>
      <c r="X197" s="20"/>
      <c r="Y197" s="20"/>
      <c r="Z197" s="20"/>
      <c r="AA197" s="20"/>
    </row>
    <row r="198" spans="1:27" ht="12.75" x14ac:dyDescent="0.2">
      <c r="A198" s="20"/>
      <c r="R198" s="20"/>
      <c r="S198" s="20"/>
      <c r="T198" s="20"/>
      <c r="U198" s="20"/>
      <c r="V198" s="20"/>
      <c r="W198" s="20"/>
      <c r="X198" s="20"/>
      <c r="Y198" s="20"/>
      <c r="Z198" s="20"/>
      <c r="AA198" s="20"/>
    </row>
    <row r="199" spans="1:27" ht="12.75" x14ac:dyDescent="0.2">
      <c r="A199" s="20"/>
      <c r="R199" s="20"/>
      <c r="S199" s="20"/>
      <c r="T199" s="20"/>
      <c r="U199" s="20"/>
      <c r="V199" s="20"/>
      <c r="W199" s="20"/>
      <c r="X199" s="20"/>
      <c r="Y199" s="20"/>
      <c r="Z199" s="20"/>
      <c r="AA199" s="20"/>
    </row>
    <row r="200" spans="1:27" ht="12.75" x14ac:dyDescent="0.2">
      <c r="A200" s="20"/>
      <c r="R200" s="20"/>
      <c r="S200" s="20"/>
      <c r="T200" s="20"/>
      <c r="U200" s="20"/>
      <c r="V200" s="20"/>
      <c r="W200" s="20"/>
      <c r="X200" s="20"/>
      <c r="Y200" s="20"/>
      <c r="Z200" s="20"/>
      <c r="AA200" s="20"/>
    </row>
    <row r="201" spans="1:27" ht="12.75" x14ac:dyDescent="0.2">
      <c r="A201" s="20"/>
      <c r="R201" s="20"/>
      <c r="S201" s="20"/>
      <c r="T201" s="20"/>
      <c r="U201" s="20"/>
      <c r="V201" s="20"/>
      <c r="W201" s="20"/>
      <c r="X201" s="20"/>
      <c r="Y201" s="20"/>
      <c r="Z201" s="20"/>
      <c r="AA201" s="20"/>
    </row>
    <row r="202" spans="1:27" ht="12.75" x14ac:dyDescent="0.2">
      <c r="A202" s="20"/>
      <c r="R202" s="20"/>
      <c r="S202" s="20"/>
      <c r="T202" s="20"/>
      <c r="U202" s="20"/>
      <c r="V202" s="20"/>
      <c r="W202" s="20"/>
      <c r="X202" s="20"/>
      <c r="Y202" s="20"/>
      <c r="Z202" s="20"/>
      <c r="AA202" s="20"/>
    </row>
    <row r="203" spans="1:27" ht="12.75" x14ac:dyDescent="0.2">
      <c r="A203" s="20"/>
      <c r="R203" s="20"/>
      <c r="S203" s="20"/>
      <c r="T203" s="20"/>
      <c r="U203" s="20"/>
      <c r="V203" s="20"/>
      <c r="W203" s="20"/>
      <c r="X203" s="20"/>
      <c r="Y203" s="20"/>
      <c r="Z203" s="20"/>
      <c r="AA203" s="20"/>
    </row>
    <row r="204" spans="1:27" ht="12.75" x14ac:dyDescent="0.2">
      <c r="A204" s="20"/>
      <c r="R204" s="20"/>
      <c r="S204" s="20"/>
      <c r="T204" s="20"/>
      <c r="U204" s="20"/>
      <c r="V204" s="20"/>
      <c r="W204" s="20"/>
      <c r="X204" s="20"/>
      <c r="Y204" s="20"/>
      <c r="Z204" s="20"/>
      <c r="AA204" s="20"/>
    </row>
    <row r="205" spans="1:27" ht="12.75" x14ac:dyDescent="0.2">
      <c r="A205" s="20"/>
      <c r="R205" s="20"/>
      <c r="S205" s="20"/>
      <c r="T205" s="20"/>
      <c r="U205" s="20"/>
      <c r="V205" s="20"/>
      <c r="W205" s="20"/>
      <c r="X205" s="20"/>
      <c r="Y205" s="20"/>
      <c r="Z205" s="20"/>
      <c r="AA205" s="20"/>
    </row>
    <row r="206" spans="1:27" ht="12.75" x14ac:dyDescent="0.2">
      <c r="A206" s="20"/>
      <c r="R206" s="20"/>
      <c r="S206" s="20"/>
      <c r="T206" s="20"/>
      <c r="U206" s="20"/>
      <c r="V206" s="20"/>
      <c r="W206" s="20"/>
      <c r="X206" s="20"/>
      <c r="Y206" s="20"/>
      <c r="Z206" s="20"/>
      <c r="AA206" s="20"/>
    </row>
    <row r="207" spans="1:27" ht="12.75" x14ac:dyDescent="0.2">
      <c r="A207" s="20"/>
      <c r="R207" s="20"/>
      <c r="S207" s="20"/>
      <c r="T207" s="20"/>
      <c r="U207" s="20"/>
      <c r="V207" s="20"/>
      <c r="W207" s="20"/>
      <c r="X207" s="20"/>
      <c r="Y207" s="20"/>
      <c r="Z207" s="20"/>
      <c r="AA207" s="20"/>
    </row>
    <row r="208" spans="1:27" ht="12.75" x14ac:dyDescent="0.2">
      <c r="A208" s="20"/>
      <c r="R208" s="20"/>
      <c r="S208" s="20"/>
      <c r="T208" s="20"/>
      <c r="U208" s="20"/>
      <c r="V208" s="20"/>
      <c r="W208" s="20"/>
      <c r="X208" s="20"/>
      <c r="Y208" s="20"/>
      <c r="Z208" s="20"/>
      <c r="AA208" s="20"/>
    </row>
    <row r="209" spans="1:27" ht="12.75" x14ac:dyDescent="0.2">
      <c r="A209" s="20"/>
      <c r="R209" s="20"/>
      <c r="S209" s="20"/>
      <c r="T209" s="20"/>
      <c r="U209" s="20"/>
      <c r="V209" s="20"/>
      <c r="W209" s="20"/>
      <c r="X209" s="20"/>
      <c r="Y209" s="20"/>
      <c r="Z209" s="20"/>
      <c r="AA209" s="20"/>
    </row>
    <row r="210" spans="1:27" ht="12.75" x14ac:dyDescent="0.2">
      <c r="A210" s="20"/>
      <c r="R210" s="20"/>
      <c r="S210" s="20"/>
      <c r="T210" s="20"/>
      <c r="U210" s="20"/>
      <c r="V210" s="20"/>
      <c r="W210" s="20"/>
      <c r="X210" s="20"/>
      <c r="Y210" s="20"/>
      <c r="Z210" s="20"/>
      <c r="AA210" s="20"/>
    </row>
    <row r="211" spans="1:27" ht="12.75" x14ac:dyDescent="0.2">
      <c r="A211" s="20"/>
      <c r="R211" s="20"/>
      <c r="S211" s="20"/>
      <c r="T211" s="20"/>
      <c r="U211" s="20"/>
      <c r="V211" s="20"/>
      <c r="W211" s="20"/>
      <c r="X211" s="20"/>
      <c r="Y211" s="20"/>
      <c r="Z211" s="20"/>
      <c r="AA211" s="20"/>
    </row>
    <row r="212" spans="1:27" ht="12.75" x14ac:dyDescent="0.2">
      <c r="A212" s="20"/>
      <c r="R212" s="20"/>
      <c r="S212" s="20"/>
      <c r="T212" s="20"/>
      <c r="U212" s="20"/>
      <c r="V212" s="20"/>
      <c r="W212" s="20"/>
      <c r="X212" s="20"/>
      <c r="Y212" s="20"/>
      <c r="Z212" s="20"/>
      <c r="AA212" s="20"/>
    </row>
    <row r="213" spans="1:27" ht="12.75" x14ac:dyDescent="0.2">
      <c r="A213" s="20"/>
      <c r="R213" s="20"/>
      <c r="S213" s="20"/>
      <c r="T213" s="20"/>
      <c r="U213" s="20"/>
      <c r="V213" s="20"/>
      <c r="W213" s="20"/>
      <c r="X213" s="20"/>
      <c r="Y213" s="20"/>
      <c r="Z213" s="20"/>
      <c r="AA213" s="20"/>
    </row>
    <row r="214" spans="1:27" ht="12.75" x14ac:dyDescent="0.2">
      <c r="A214" s="20"/>
      <c r="R214" s="20"/>
      <c r="S214" s="20"/>
      <c r="T214" s="20"/>
      <c r="U214" s="20"/>
      <c r="V214" s="20"/>
      <c r="W214" s="20"/>
      <c r="X214" s="20"/>
      <c r="Y214" s="20"/>
      <c r="Z214" s="20"/>
      <c r="AA214" s="20"/>
    </row>
    <row r="215" spans="1:27" ht="12.75" x14ac:dyDescent="0.2">
      <c r="A215" s="20"/>
      <c r="R215" s="20"/>
      <c r="S215" s="20"/>
      <c r="T215" s="20"/>
      <c r="U215" s="20"/>
      <c r="V215" s="20"/>
      <c r="W215" s="20"/>
      <c r="X215" s="20"/>
      <c r="Y215" s="20"/>
      <c r="Z215" s="20"/>
      <c r="AA215" s="20"/>
    </row>
    <row r="216" spans="1:27" ht="12.75" x14ac:dyDescent="0.2">
      <c r="A216" s="20"/>
      <c r="R216" s="20"/>
      <c r="S216" s="20"/>
      <c r="T216" s="20"/>
      <c r="U216" s="20"/>
      <c r="V216" s="20"/>
      <c r="W216" s="20"/>
      <c r="X216" s="20"/>
      <c r="Y216" s="20"/>
      <c r="Z216" s="20"/>
      <c r="AA216" s="20"/>
    </row>
    <row r="217" spans="1:27" ht="12.75" x14ac:dyDescent="0.2">
      <c r="A217" s="20"/>
      <c r="R217" s="20"/>
      <c r="S217" s="20"/>
      <c r="T217" s="20"/>
      <c r="U217" s="20"/>
      <c r="V217" s="20"/>
      <c r="W217" s="20"/>
      <c r="X217" s="20"/>
      <c r="Y217" s="20"/>
      <c r="Z217" s="20"/>
      <c r="AA217" s="20"/>
    </row>
    <row r="218" spans="1:27" ht="12.75" x14ac:dyDescent="0.2">
      <c r="A218" s="20"/>
      <c r="R218" s="20"/>
      <c r="S218" s="20"/>
      <c r="T218" s="20"/>
      <c r="U218" s="20"/>
      <c r="V218" s="20"/>
      <c r="W218" s="20"/>
      <c r="X218" s="20"/>
      <c r="Y218" s="20"/>
      <c r="Z218" s="20"/>
      <c r="AA218" s="20"/>
    </row>
    <row r="219" spans="1:27" ht="12.75" x14ac:dyDescent="0.2">
      <c r="A219" s="20"/>
      <c r="R219" s="20"/>
      <c r="S219" s="20"/>
      <c r="T219" s="20"/>
      <c r="U219" s="20"/>
      <c r="V219" s="20"/>
      <c r="W219" s="20"/>
      <c r="X219" s="20"/>
      <c r="Y219" s="20"/>
      <c r="Z219" s="20"/>
      <c r="AA219" s="20"/>
    </row>
    <row r="220" spans="1:27" ht="12.75" x14ac:dyDescent="0.2">
      <c r="A220" s="20"/>
      <c r="R220" s="20"/>
      <c r="S220" s="20"/>
      <c r="T220" s="20"/>
      <c r="U220" s="20"/>
      <c r="V220" s="20"/>
      <c r="W220" s="20"/>
      <c r="X220" s="20"/>
      <c r="Y220" s="20"/>
      <c r="Z220" s="20"/>
      <c r="AA220" s="20"/>
    </row>
    <row r="221" spans="1:27" ht="12.75" x14ac:dyDescent="0.2">
      <c r="A221" s="20"/>
      <c r="R221" s="20"/>
      <c r="S221" s="20"/>
      <c r="T221" s="20"/>
      <c r="U221" s="20"/>
      <c r="V221" s="20"/>
      <c r="W221" s="20"/>
      <c r="X221" s="20"/>
      <c r="Y221" s="20"/>
      <c r="Z221" s="20"/>
      <c r="AA221" s="20"/>
    </row>
    <row r="222" spans="1:27" ht="12.75" x14ac:dyDescent="0.2">
      <c r="A222" s="20"/>
      <c r="R222" s="20"/>
      <c r="S222" s="20"/>
      <c r="T222" s="20"/>
      <c r="U222" s="20"/>
      <c r="V222" s="20"/>
      <c r="W222" s="20"/>
      <c r="X222" s="20"/>
      <c r="Y222" s="20"/>
      <c r="Z222" s="20"/>
      <c r="AA222" s="20"/>
    </row>
    <row r="223" spans="1:27" ht="12.75" x14ac:dyDescent="0.2">
      <c r="A223" s="20"/>
      <c r="R223" s="20"/>
      <c r="S223" s="20"/>
      <c r="T223" s="20"/>
      <c r="U223" s="20"/>
      <c r="V223" s="20"/>
      <c r="W223" s="20"/>
      <c r="X223" s="20"/>
      <c r="Y223" s="20"/>
      <c r="Z223" s="20"/>
      <c r="AA223" s="20"/>
    </row>
    <row r="224" spans="1:27" ht="12.75" x14ac:dyDescent="0.2">
      <c r="A224" s="20"/>
      <c r="R224" s="20"/>
      <c r="S224" s="20"/>
      <c r="T224" s="20"/>
      <c r="U224" s="20"/>
      <c r="V224" s="20"/>
      <c r="W224" s="20"/>
      <c r="X224" s="20"/>
      <c r="Y224" s="20"/>
      <c r="Z224" s="20"/>
      <c r="AA224" s="20"/>
    </row>
    <row r="225" spans="1:27" ht="12.75" x14ac:dyDescent="0.2">
      <c r="A225" s="20"/>
      <c r="R225" s="20"/>
      <c r="S225" s="20"/>
      <c r="T225" s="20"/>
      <c r="U225" s="20"/>
      <c r="V225" s="20"/>
      <c r="W225" s="20"/>
      <c r="X225" s="20"/>
      <c r="Y225" s="20"/>
      <c r="Z225" s="20"/>
      <c r="AA225" s="20"/>
    </row>
    <row r="226" spans="1:27" ht="12.75" x14ac:dyDescent="0.2">
      <c r="A226" s="20"/>
      <c r="R226" s="20"/>
      <c r="S226" s="20"/>
      <c r="T226" s="20"/>
      <c r="U226" s="20"/>
      <c r="V226" s="20"/>
      <c r="W226" s="20"/>
      <c r="X226" s="20"/>
      <c r="Y226" s="20"/>
      <c r="Z226" s="20"/>
      <c r="AA226" s="20"/>
    </row>
    <row r="227" spans="1:27" ht="12.75" x14ac:dyDescent="0.2">
      <c r="A227" s="20"/>
      <c r="R227" s="20"/>
      <c r="S227" s="20"/>
      <c r="T227" s="20"/>
      <c r="U227" s="20"/>
      <c r="V227" s="20"/>
      <c r="W227" s="20"/>
      <c r="X227" s="20"/>
      <c r="Y227" s="20"/>
      <c r="Z227" s="20"/>
      <c r="AA227" s="20"/>
    </row>
    <row r="228" spans="1:27" ht="12.75" x14ac:dyDescent="0.2">
      <c r="A228" s="20"/>
      <c r="R228" s="20"/>
      <c r="S228" s="20"/>
      <c r="T228" s="20"/>
      <c r="U228" s="20"/>
      <c r="V228" s="20"/>
      <c r="W228" s="20"/>
      <c r="X228" s="20"/>
      <c r="Y228" s="20"/>
      <c r="Z228" s="20"/>
      <c r="AA228" s="20"/>
    </row>
    <row r="229" spans="1:27" ht="12.75" x14ac:dyDescent="0.2">
      <c r="A229" s="20"/>
      <c r="R229" s="20"/>
      <c r="S229" s="20"/>
      <c r="T229" s="20"/>
      <c r="U229" s="20"/>
      <c r="V229" s="20"/>
      <c r="W229" s="20"/>
      <c r="X229" s="20"/>
      <c r="Y229" s="20"/>
      <c r="Z229" s="20"/>
      <c r="AA229" s="20"/>
    </row>
    <row r="230" spans="1:27" ht="12.75" x14ac:dyDescent="0.2">
      <c r="A230" s="20"/>
      <c r="R230" s="20"/>
      <c r="S230" s="20"/>
      <c r="T230" s="20"/>
      <c r="U230" s="20"/>
      <c r="V230" s="20"/>
      <c r="W230" s="20"/>
      <c r="X230" s="20"/>
      <c r="Y230" s="20"/>
      <c r="Z230" s="20"/>
      <c r="AA230" s="20"/>
    </row>
    <row r="231" spans="1:27" ht="12.75" x14ac:dyDescent="0.2">
      <c r="A231" s="20"/>
      <c r="R231" s="20"/>
      <c r="S231" s="20"/>
      <c r="T231" s="20"/>
      <c r="U231" s="20"/>
      <c r="V231" s="20"/>
      <c r="W231" s="20"/>
      <c r="X231" s="20"/>
      <c r="Y231" s="20"/>
      <c r="Z231" s="20"/>
      <c r="AA231" s="20"/>
    </row>
    <row r="232" spans="1:27" ht="12.75" x14ac:dyDescent="0.2">
      <c r="A232" s="20"/>
      <c r="R232" s="20"/>
      <c r="S232" s="20"/>
      <c r="T232" s="20"/>
      <c r="U232" s="20"/>
      <c r="V232" s="20"/>
      <c r="W232" s="20"/>
      <c r="X232" s="20"/>
      <c r="Y232" s="20"/>
      <c r="Z232" s="20"/>
      <c r="AA232" s="20"/>
    </row>
    <row r="233" spans="1:27" ht="12.75" x14ac:dyDescent="0.2">
      <c r="A233" s="20"/>
      <c r="R233" s="20"/>
      <c r="S233" s="20"/>
      <c r="T233" s="20"/>
      <c r="U233" s="20"/>
      <c r="V233" s="20"/>
      <c r="W233" s="20"/>
      <c r="X233" s="20"/>
      <c r="Y233" s="20"/>
      <c r="Z233" s="20"/>
      <c r="AA233" s="20"/>
    </row>
    <row r="234" spans="1:27" ht="12.75" x14ac:dyDescent="0.2">
      <c r="A234" s="20"/>
      <c r="R234" s="20"/>
      <c r="S234" s="20"/>
      <c r="T234" s="20"/>
      <c r="U234" s="20"/>
      <c r="V234" s="20"/>
      <c r="W234" s="20"/>
      <c r="X234" s="20"/>
      <c r="Y234" s="20"/>
      <c r="Z234" s="20"/>
      <c r="AA234" s="20"/>
    </row>
    <row r="235" spans="1:27" ht="12.75" x14ac:dyDescent="0.2">
      <c r="A235" s="20"/>
      <c r="R235" s="20"/>
      <c r="S235" s="20"/>
      <c r="T235" s="20"/>
      <c r="U235" s="20"/>
      <c r="V235" s="20"/>
      <c r="W235" s="20"/>
      <c r="X235" s="20"/>
      <c r="Y235" s="20"/>
      <c r="Z235" s="20"/>
      <c r="AA235" s="20"/>
    </row>
    <row r="236" spans="1:27" ht="12.75" x14ac:dyDescent="0.2">
      <c r="A236" s="20"/>
      <c r="R236" s="20"/>
      <c r="S236" s="20"/>
      <c r="T236" s="20"/>
      <c r="U236" s="20"/>
      <c r="V236" s="20"/>
      <c r="W236" s="20"/>
      <c r="X236" s="20"/>
      <c r="Y236" s="20"/>
      <c r="Z236" s="20"/>
      <c r="AA236" s="20"/>
    </row>
    <row r="237" spans="1:27" ht="12.75" x14ac:dyDescent="0.2">
      <c r="A237" s="20"/>
      <c r="R237" s="20"/>
      <c r="S237" s="20"/>
      <c r="T237" s="20"/>
      <c r="U237" s="20"/>
      <c r="V237" s="20"/>
      <c r="W237" s="20"/>
      <c r="X237" s="20"/>
      <c r="Y237" s="20"/>
      <c r="Z237" s="20"/>
      <c r="AA237" s="20"/>
    </row>
    <row r="238" spans="1:27" ht="12.75" x14ac:dyDescent="0.2">
      <c r="A238" s="20"/>
      <c r="R238" s="20"/>
      <c r="S238" s="20"/>
      <c r="T238" s="20"/>
      <c r="U238" s="20"/>
      <c r="V238" s="20"/>
      <c r="W238" s="20"/>
      <c r="X238" s="20"/>
      <c r="Y238" s="20"/>
      <c r="Z238" s="20"/>
      <c r="AA238" s="20"/>
    </row>
    <row r="239" spans="1:27" ht="12.75" x14ac:dyDescent="0.2">
      <c r="A239" s="20"/>
      <c r="R239" s="20"/>
      <c r="S239" s="20"/>
      <c r="T239" s="20"/>
      <c r="U239" s="20"/>
      <c r="V239" s="20"/>
      <c r="W239" s="20"/>
      <c r="X239" s="20"/>
      <c r="Y239" s="20"/>
      <c r="Z239" s="20"/>
      <c r="AA239" s="20"/>
    </row>
    <row r="240" spans="1:27" ht="12.75" x14ac:dyDescent="0.2">
      <c r="A240" s="20"/>
      <c r="R240" s="20"/>
      <c r="S240" s="20"/>
      <c r="T240" s="20"/>
      <c r="U240" s="20"/>
      <c r="V240" s="20"/>
      <c r="W240" s="20"/>
      <c r="X240" s="20"/>
      <c r="Y240" s="20"/>
      <c r="Z240" s="20"/>
      <c r="AA240" s="20"/>
    </row>
    <row r="241" spans="1:27" ht="12.75" x14ac:dyDescent="0.2">
      <c r="A241" s="20"/>
      <c r="R241" s="20"/>
      <c r="S241" s="20"/>
      <c r="T241" s="20"/>
      <c r="U241" s="20"/>
      <c r="V241" s="20"/>
      <c r="W241" s="20"/>
      <c r="X241" s="20"/>
      <c r="Y241" s="20"/>
      <c r="Z241" s="20"/>
      <c r="AA241" s="20"/>
    </row>
    <row r="242" spans="1:27" ht="12.75" x14ac:dyDescent="0.2">
      <c r="A242" s="20"/>
      <c r="R242" s="20"/>
      <c r="S242" s="20"/>
      <c r="T242" s="20"/>
      <c r="U242" s="20"/>
      <c r="V242" s="20"/>
      <c r="W242" s="20"/>
      <c r="X242" s="20"/>
      <c r="Y242" s="20"/>
      <c r="Z242" s="20"/>
      <c r="AA242" s="20"/>
    </row>
    <row r="243" spans="1:27" ht="12.75" x14ac:dyDescent="0.2">
      <c r="A243" s="20"/>
      <c r="R243" s="20"/>
      <c r="S243" s="20"/>
      <c r="T243" s="20"/>
      <c r="U243" s="20"/>
      <c r="V243" s="20"/>
      <c r="W243" s="20"/>
      <c r="X243" s="20"/>
      <c r="Y243" s="20"/>
      <c r="Z243" s="20"/>
      <c r="AA243" s="20"/>
    </row>
    <row r="244" spans="1:27" ht="12.75" x14ac:dyDescent="0.2">
      <c r="A244" s="20"/>
      <c r="R244" s="20"/>
      <c r="S244" s="20"/>
      <c r="T244" s="20"/>
      <c r="U244" s="20"/>
      <c r="V244" s="20"/>
      <c r="W244" s="20"/>
      <c r="X244" s="20"/>
      <c r="Y244" s="20"/>
      <c r="Z244" s="20"/>
      <c r="AA244" s="20"/>
    </row>
    <row r="245" spans="1:27" ht="12.75" x14ac:dyDescent="0.2">
      <c r="A245" s="20"/>
      <c r="R245" s="20"/>
      <c r="S245" s="20"/>
      <c r="T245" s="20"/>
      <c r="U245" s="20"/>
      <c r="V245" s="20"/>
      <c r="W245" s="20"/>
      <c r="X245" s="20"/>
      <c r="Y245" s="20"/>
      <c r="Z245" s="20"/>
      <c r="AA245" s="20"/>
    </row>
    <row r="246" spans="1:27" ht="12.75" x14ac:dyDescent="0.2">
      <c r="A246" s="20"/>
      <c r="R246" s="20"/>
      <c r="S246" s="20"/>
      <c r="T246" s="20"/>
      <c r="U246" s="20"/>
      <c r="V246" s="20"/>
      <c r="W246" s="20"/>
      <c r="X246" s="20"/>
      <c r="Y246" s="20"/>
      <c r="Z246" s="20"/>
      <c r="AA246" s="20"/>
    </row>
    <row r="247" spans="1:27" ht="12.75" x14ac:dyDescent="0.2">
      <c r="A247" s="20"/>
      <c r="R247" s="20"/>
      <c r="S247" s="20"/>
      <c r="T247" s="20"/>
      <c r="U247" s="20"/>
      <c r="V247" s="20"/>
      <c r="W247" s="20"/>
      <c r="X247" s="20"/>
      <c r="Y247" s="20"/>
      <c r="Z247" s="20"/>
      <c r="AA247" s="20"/>
    </row>
    <row r="248" spans="1:27" ht="12.75" x14ac:dyDescent="0.2">
      <c r="A248" s="20"/>
      <c r="R248" s="20"/>
      <c r="S248" s="20"/>
      <c r="T248" s="20"/>
      <c r="U248" s="20"/>
      <c r="V248" s="20"/>
      <c r="W248" s="20"/>
      <c r="X248" s="20"/>
      <c r="Y248" s="20"/>
      <c r="Z248" s="20"/>
      <c r="AA248" s="20"/>
    </row>
    <row r="249" spans="1:27" ht="12.75" x14ac:dyDescent="0.2">
      <c r="A249" s="20"/>
      <c r="R249" s="20"/>
      <c r="S249" s="20"/>
      <c r="T249" s="20"/>
      <c r="U249" s="20"/>
      <c r="V249" s="20"/>
      <c r="W249" s="20"/>
      <c r="X249" s="20"/>
      <c r="Y249" s="20"/>
      <c r="Z249" s="20"/>
      <c r="AA249" s="20"/>
    </row>
    <row r="250" spans="1:27" ht="12.75" x14ac:dyDescent="0.2">
      <c r="A250" s="20"/>
      <c r="R250" s="20"/>
      <c r="S250" s="20"/>
      <c r="T250" s="20"/>
      <c r="U250" s="20"/>
      <c r="V250" s="20"/>
      <c r="W250" s="20"/>
      <c r="X250" s="20"/>
      <c r="Y250" s="20"/>
      <c r="Z250" s="20"/>
      <c r="AA250" s="20"/>
    </row>
    <row r="251" spans="1:27" ht="12.75" x14ac:dyDescent="0.2">
      <c r="A251" s="20"/>
      <c r="R251" s="20"/>
      <c r="S251" s="20"/>
      <c r="T251" s="20"/>
      <c r="U251" s="20"/>
      <c r="V251" s="20"/>
      <c r="W251" s="20"/>
      <c r="X251" s="20"/>
      <c r="Y251" s="20"/>
      <c r="Z251" s="20"/>
      <c r="AA251" s="20"/>
    </row>
    <row r="252" spans="1:27" ht="12.75" x14ac:dyDescent="0.2">
      <c r="A252" s="20"/>
      <c r="R252" s="20"/>
      <c r="S252" s="20"/>
      <c r="T252" s="20"/>
      <c r="U252" s="20"/>
      <c r="V252" s="20"/>
      <c r="W252" s="20"/>
      <c r="X252" s="20"/>
      <c r="Y252" s="20"/>
      <c r="Z252" s="20"/>
      <c r="AA252" s="20"/>
    </row>
    <row r="253" spans="1:27" ht="12.75" x14ac:dyDescent="0.2">
      <c r="A253" s="20"/>
      <c r="R253" s="20"/>
      <c r="S253" s="20"/>
      <c r="T253" s="20"/>
      <c r="U253" s="20"/>
      <c r="V253" s="20"/>
      <c r="W253" s="20"/>
      <c r="X253" s="20"/>
      <c r="Y253" s="20"/>
      <c r="Z253" s="20"/>
      <c r="AA253" s="20"/>
    </row>
    <row r="254" spans="1:27" ht="12.75" x14ac:dyDescent="0.2">
      <c r="A254" s="20"/>
      <c r="R254" s="20"/>
      <c r="S254" s="20"/>
      <c r="T254" s="20"/>
      <c r="U254" s="20"/>
      <c r="V254" s="20"/>
      <c r="W254" s="20"/>
      <c r="X254" s="20"/>
      <c r="Y254" s="20"/>
      <c r="Z254" s="20"/>
      <c r="AA254" s="20"/>
    </row>
    <row r="255" spans="1:27" ht="12.75" x14ac:dyDescent="0.2">
      <c r="A255" s="20"/>
      <c r="R255" s="20"/>
      <c r="S255" s="20"/>
      <c r="T255" s="20"/>
      <c r="U255" s="20"/>
      <c r="V255" s="20"/>
      <c r="W255" s="20"/>
      <c r="X255" s="20"/>
      <c r="Y255" s="20"/>
      <c r="Z255" s="20"/>
      <c r="AA255" s="20"/>
    </row>
    <row r="256" spans="1:27" ht="12.75" x14ac:dyDescent="0.2">
      <c r="A256" s="20"/>
      <c r="R256" s="20"/>
      <c r="S256" s="20"/>
      <c r="T256" s="20"/>
      <c r="U256" s="20"/>
      <c r="V256" s="20"/>
      <c r="W256" s="20"/>
      <c r="X256" s="20"/>
      <c r="Y256" s="20"/>
      <c r="Z256" s="20"/>
      <c r="AA256" s="20"/>
    </row>
    <row r="257" spans="1:27" ht="12.75" x14ac:dyDescent="0.2">
      <c r="A257" s="20"/>
      <c r="R257" s="20"/>
      <c r="S257" s="20"/>
      <c r="T257" s="20"/>
      <c r="U257" s="20"/>
      <c r="V257" s="20"/>
      <c r="W257" s="20"/>
      <c r="X257" s="20"/>
      <c r="Y257" s="20"/>
      <c r="Z257" s="20"/>
      <c r="AA257" s="20"/>
    </row>
    <row r="258" spans="1:27" ht="12.75" x14ac:dyDescent="0.2">
      <c r="A258" s="20"/>
      <c r="R258" s="20"/>
      <c r="S258" s="20"/>
      <c r="T258" s="20"/>
      <c r="U258" s="20"/>
      <c r="V258" s="20"/>
      <c r="W258" s="20"/>
      <c r="X258" s="20"/>
      <c r="Y258" s="20"/>
      <c r="Z258" s="20"/>
      <c r="AA258" s="20"/>
    </row>
    <row r="259" spans="1:27" ht="12.75" x14ac:dyDescent="0.2">
      <c r="A259" s="20"/>
      <c r="R259" s="20"/>
      <c r="S259" s="20"/>
      <c r="T259" s="20"/>
      <c r="U259" s="20"/>
      <c r="V259" s="20"/>
      <c r="W259" s="20"/>
      <c r="X259" s="20"/>
      <c r="Y259" s="20"/>
      <c r="Z259" s="20"/>
      <c r="AA259" s="20"/>
    </row>
    <row r="260" spans="1:27" ht="12.75" x14ac:dyDescent="0.2">
      <c r="A260" s="20"/>
      <c r="R260" s="20"/>
      <c r="S260" s="20"/>
      <c r="T260" s="20"/>
      <c r="U260" s="20"/>
      <c r="V260" s="20"/>
      <c r="W260" s="20"/>
      <c r="X260" s="20"/>
      <c r="Y260" s="20"/>
      <c r="Z260" s="20"/>
      <c r="AA260" s="20"/>
    </row>
    <row r="261" spans="1:27" ht="12.75" x14ac:dyDescent="0.2">
      <c r="A261" s="20"/>
      <c r="R261" s="20"/>
      <c r="S261" s="20"/>
      <c r="T261" s="20"/>
      <c r="U261" s="20"/>
      <c r="V261" s="20"/>
      <c r="W261" s="20"/>
      <c r="X261" s="20"/>
      <c r="Y261" s="20"/>
      <c r="Z261" s="20"/>
      <c r="AA261" s="20"/>
    </row>
    <row r="262" spans="1:27" ht="12.75" x14ac:dyDescent="0.2">
      <c r="A262" s="20"/>
      <c r="R262" s="20"/>
      <c r="S262" s="20"/>
      <c r="T262" s="20"/>
      <c r="U262" s="20"/>
      <c r="V262" s="20"/>
      <c r="W262" s="20"/>
      <c r="X262" s="20"/>
      <c r="Y262" s="20"/>
      <c r="Z262" s="20"/>
      <c r="AA262" s="20"/>
    </row>
    <row r="263" spans="1:27" ht="12.75" x14ac:dyDescent="0.2">
      <c r="A263" s="20"/>
      <c r="R263" s="20"/>
      <c r="S263" s="20"/>
      <c r="T263" s="20"/>
      <c r="U263" s="20"/>
      <c r="V263" s="20"/>
      <c r="W263" s="20"/>
      <c r="X263" s="20"/>
      <c r="Y263" s="20"/>
      <c r="Z263" s="20"/>
      <c r="AA263" s="20"/>
    </row>
    <row r="264" spans="1:27" ht="12.75" x14ac:dyDescent="0.2">
      <c r="A264" s="20"/>
      <c r="R264" s="20"/>
      <c r="S264" s="20"/>
      <c r="T264" s="20"/>
      <c r="U264" s="20"/>
      <c r="V264" s="20"/>
      <c r="W264" s="20"/>
      <c r="X264" s="20"/>
      <c r="Y264" s="20"/>
      <c r="Z264" s="20"/>
      <c r="AA264" s="20"/>
    </row>
    <row r="265" spans="1:27" ht="12.75" x14ac:dyDescent="0.2">
      <c r="A265" s="20"/>
      <c r="R265" s="20"/>
      <c r="S265" s="20"/>
      <c r="T265" s="20"/>
      <c r="U265" s="20"/>
      <c r="V265" s="20"/>
      <c r="W265" s="20"/>
      <c r="X265" s="20"/>
      <c r="Y265" s="20"/>
      <c r="Z265" s="20"/>
      <c r="AA265" s="20"/>
    </row>
    <row r="266" spans="1:27" ht="12.75" x14ac:dyDescent="0.2">
      <c r="A266" s="20"/>
      <c r="R266" s="20"/>
      <c r="S266" s="20"/>
      <c r="T266" s="20"/>
      <c r="U266" s="20"/>
      <c r="V266" s="20"/>
      <c r="W266" s="20"/>
      <c r="X266" s="20"/>
      <c r="Y266" s="20"/>
      <c r="Z266" s="20"/>
      <c r="AA266" s="20"/>
    </row>
    <row r="267" spans="1:27" ht="12.75" x14ac:dyDescent="0.2">
      <c r="A267" s="20"/>
      <c r="R267" s="20"/>
      <c r="S267" s="20"/>
      <c r="T267" s="20"/>
      <c r="U267" s="20"/>
      <c r="V267" s="20"/>
      <c r="W267" s="20"/>
      <c r="X267" s="20"/>
      <c r="Y267" s="20"/>
      <c r="Z267" s="20"/>
      <c r="AA267" s="20"/>
    </row>
    <row r="268" spans="1:27" ht="12.75" x14ac:dyDescent="0.2">
      <c r="A268" s="20"/>
      <c r="R268" s="20"/>
      <c r="S268" s="20"/>
      <c r="T268" s="20"/>
      <c r="U268" s="20"/>
      <c r="V268" s="20"/>
      <c r="W268" s="20"/>
      <c r="X268" s="20"/>
      <c r="Y268" s="20"/>
      <c r="Z268" s="20"/>
      <c r="AA268" s="20"/>
    </row>
    <row r="269" spans="1:27" ht="12.75" x14ac:dyDescent="0.2">
      <c r="A269" s="20"/>
      <c r="R269" s="20"/>
      <c r="S269" s="20"/>
      <c r="T269" s="20"/>
      <c r="U269" s="20"/>
      <c r="V269" s="20"/>
      <c r="W269" s="20"/>
      <c r="X269" s="20"/>
      <c r="Y269" s="20"/>
      <c r="Z269" s="20"/>
      <c r="AA269" s="20"/>
    </row>
    <row r="270" spans="1:27" ht="12.75" x14ac:dyDescent="0.2">
      <c r="A270" s="20"/>
      <c r="R270" s="20"/>
      <c r="S270" s="20"/>
      <c r="T270" s="20"/>
      <c r="U270" s="20"/>
      <c r="V270" s="20"/>
      <c r="W270" s="20"/>
      <c r="X270" s="20"/>
      <c r="Y270" s="20"/>
      <c r="Z270" s="20"/>
      <c r="AA270" s="20"/>
    </row>
    <row r="271" spans="1:27" ht="12.75" x14ac:dyDescent="0.2">
      <c r="A271" s="20"/>
      <c r="R271" s="20"/>
      <c r="S271" s="20"/>
      <c r="T271" s="20"/>
      <c r="U271" s="20"/>
      <c r="V271" s="20"/>
      <c r="W271" s="20"/>
      <c r="X271" s="20"/>
      <c r="Y271" s="20"/>
      <c r="Z271" s="20"/>
      <c r="AA271" s="20"/>
    </row>
    <row r="272" spans="1:27" ht="12.75" x14ac:dyDescent="0.2">
      <c r="A272" s="20"/>
      <c r="R272" s="20"/>
      <c r="S272" s="20"/>
      <c r="T272" s="20"/>
      <c r="U272" s="20"/>
      <c r="V272" s="20"/>
      <c r="W272" s="20"/>
      <c r="X272" s="20"/>
      <c r="Y272" s="20"/>
      <c r="Z272" s="20"/>
      <c r="AA272" s="20"/>
    </row>
    <row r="273" spans="1:27" ht="12.75" x14ac:dyDescent="0.2">
      <c r="A273" s="20"/>
      <c r="R273" s="20"/>
      <c r="S273" s="20"/>
      <c r="T273" s="20"/>
      <c r="U273" s="20"/>
      <c r="V273" s="20"/>
      <c r="W273" s="20"/>
      <c r="X273" s="20"/>
      <c r="Y273" s="20"/>
      <c r="Z273" s="20"/>
      <c r="AA273" s="20"/>
    </row>
    <row r="274" spans="1:27" ht="12.75" x14ac:dyDescent="0.2">
      <c r="A274" s="20"/>
      <c r="R274" s="20"/>
      <c r="S274" s="20"/>
      <c r="T274" s="20"/>
      <c r="U274" s="20"/>
      <c r="V274" s="20"/>
      <c r="W274" s="20"/>
      <c r="X274" s="20"/>
      <c r="Y274" s="20"/>
      <c r="Z274" s="20"/>
      <c r="AA274" s="20"/>
    </row>
    <row r="275" spans="1:27" ht="12.75" x14ac:dyDescent="0.2">
      <c r="A275" s="20"/>
      <c r="R275" s="20"/>
      <c r="S275" s="20"/>
      <c r="T275" s="20"/>
      <c r="U275" s="20"/>
      <c r="V275" s="20"/>
      <c r="W275" s="20"/>
      <c r="X275" s="20"/>
      <c r="Y275" s="20"/>
      <c r="Z275" s="20"/>
      <c r="AA275" s="20"/>
    </row>
    <row r="276" spans="1:27" ht="12.75" x14ac:dyDescent="0.2">
      <c r="A276" s="20"/>
      <c r="R276" s="20"/>
      <c r="S276" s="20"/>
      <c r="T276" s="20"/>
      <c r="U276" s="20"/>
      <c r="V276" s="20"/>
      <c r="W276" s="20"/>
      <c r="X276" s="20"/>
      <c r="Y276" s="20"/>
      <c r="Z276" s="20"/>
      <c r="AA276" s="20"/>
    </row>
    <row r="277" spans="1:27" ht="12.75" x14ac:dyDescent="0.2">
      <c r="A277" s="20"/>
      <c r="R277" s="20"/>
      <c r="S277" s="20"/>
      <c r="T277" s="20"/>
      <c r="U277" s="20"/>
      <c r="V277" s="20"/>
      <c r="W277" s="20"/>
      <c r="X277" s="20"/>
      <c r="Y277" s="20"/>
      <c r="Z277" s="20"/>
      <c r="AA277" s="20"/>
    </row>
    <row r="278" spans="1:27" ht="12.75" x14ac:dyDescent="0.2">
      <c r="A278" s="20"/>
      <c r="R278" s="20"/>
      <c r="S278" s="20"/>
      <c r="T278" s="20"/>
      <c r="U278" s="20"/>
      <c r="V278" s="20"/>
      <c r="W278" s="20"/>
      <c r="X278" s="20"/>
      <c r="Y278" s="20"/>
      <c r="Z278" s="20"/>
      <c r="AA278" s="20"/>
    </row>
    <row r="279" spans="1:27" ht="12.75" x14ac:dyDescent="0.2">
      <c r="A279" s="20"/>
      <c r="R279" s="20"/>
      <c r="S279" s="20"/>
      <c r="T279" s="20"/>
      <c r="U279" s="20"/>
      <c r="V279" s="20"/>
      <c r="W279" s="20"/>
      <c r="X279" s="20"/>
      <c r="Y279" s="20"/>
      <c r="Z279" s="20"/>
      <c r="AA279" s="20"/>
    </row>
    <row r="280" spans="1:27" ht="12.75" x14ac:dyDescent="0.2">
      <c r="A280" s="20"/>
      <c r="R280" s="20"/>
      <c r="S280" s="20"/>
      <c r="T280" s="20"/>
      <c r="U280" s="20"/>
      <c r="V280" s="20"/>
      <c r="W280" s="20"/>
      <c r="X280" s="20"/>
      <c r="Y280" s="20"/>
      <c r="Z280" s="20"/>
      <c r="AA280" s="20"/>
    </row>
    <row r="281" spans="1:27" ht="12.75" x14ac:dyDescent="0.2">
      <c r="A281" s="20"/>
      <c r="R281" s="20"/>
      <c r="S281" s="20"/>
      <c r="T281" s="20"/>
      <c r="U281" s="20"/>
      <c r="V281" s="20"/>
      <c r="W281" s="20"/>
      <c r="X281" s="20"/>
      <c r="Y281" s="20"/>
      <c r="Z281" s="20"/>
      <c r="AA281" s="20"/>
    </row>
    <row r="282" spans="1:27" ht="12.75" x14ac:dyDescent="0.2">
      <c r="A282" s="20"/>
      <c r="R282" s="20"/>
      <c r="S282" s="20"/>
      <c r="T282" s="20"/>
      <c r="U282" s="20"/>
      <c r="V282" s="20"/>
      <c r="W282" s="20"/>
      <c r="X282" s="20"/>
      <c r="Y282" s="20"/>
      <c r="Z282" s="20"/>
      <c r="AA282" s="20"/>
    </row>
    <row r="283" spans="1:27" ht="12.75" x14ac:dyDescent="0.2">
      <c r="A283" s="20"/>
      <c r="R283" s="20"/>
      <c r="S283" s="20"/>
      <c r="T283" s="20"/>
      <c r="U283" s="20"/>
      <c r="V283" s="20"/>
      <c r="W283" s="20"/>
      <c r="X283" s="20"/>
      <c r="Y283" s="20"/>
      <c r="Z283" s="20"/>
      <c r="AA283" s="20"/>
    </row>
    <row r="284" spans="1:27" ht="12.75" x14ac:dyDescent="0.2">
      <c r="A284" s="20"/>
      <c r="R284" s="20"/>
      <c r="S284" s="20"/>
      <c r="T284" s="20"/>
      <c r="U284" s="20"/>
      <c r="V284" s="20"/>
      <c r="W284" s="20"/>
      <c r="X284" s="20"/>
      <c r="Y284" s="20"/>
      <c r="Z284" s="20"/>
      <c r="AA284" s="20"/>
    </row>
    <row r="285" spans="1:27" ht="12.75" x14ac:dyDescent="0.2">
      <c r="A285" s="20"/>
      <c r="R285" s="20"/>
      <c r="S285" s="20"/>
      <c r="T285" s="20"/>
      <c r="U285" s="20"/>
      <c r="V285" s="20"/>
      <c r="W285" s="20"/>
      <c r="X285" s="20"/>
      <c r="Y285" s="20"/>
      <c r="Z285" s="20"/>
      <c r="AA285" s="20"/>
    </row>
    <row r="286" spans="1:27" ht="12.75" x14ac:dyDescent="0.2">
      <c r="A286" s="20"/>
      <c r="R286" s="20"/>
      <c r="S286" s="20"/>
      <c r="T286" s="20"/>
      <c r="U286" s="20"/>
      <c r="V286" s="20"/>
      <c r="W286" s="20"/>
      <c r="X286" s="20"/>
      <c r="Y286" s="20"/>
      <c r="Z286" s="20"/>
      <c r="AA286" s="20"/>
    </row>
    <row r="287" spans="1:27" ht="12.75" x14ac:dyDescent="0.2">
      <c r="A287" s="20"/>
      <c r="R287" s="20"/>
      <c r="S287" s="20"/>
      <c r="T287" s="20"/>
      <c r="U287" s="20"/>
      <c r="V287" s="20"/>
      <c r="W287" s="20"/>
      <c r="X287" s="20"/>
      <c r="Y287" s="20"/>
      <c r="Z287" s="20"/>
      <c r="AA287" s="20"/>
    </row>
    <row r="288" spans="1:27" ht="12.75" x14ac:dyDescent="0.2">
      <c r="A288" s="20"/>
      <c r="R288" s="20"/>
      <c r="S288" s="20"/>
      <c r="T288" s="20"/>
      <c r="U288" s="20"/>
      <c r="V288" s="20"/>
      <c r="W288" s="20"/>
      <c r="X288" s="20"/>
      <c r="Y288" s="20"/>
      <c r="Z288" s="20"/>
      <c r="AA288" s="20"/>
    </row>
    <row r="289" spans="1:27" ht="12.75" x14ac:dyDescent="0.2">
      <c r="A289" s="20"/>
      <c r="R289" s="20"/>
      <c r="S289" s="20"/>
      <c r="T289" s="20"/>
      <c r="U289" s="20"/>
      <c r="V289" s="20"/>
      <c r="W289" s="20"/>
      <c r="X289" s="20"/>
      <c r="Y289" s="20"/>
      <c r="Z289" s="20"/>
      <c r="AA289" s="20"/>
    </row>
    <row r="290" spans="1:27" ht="12.75" x14ac:dyDescent="0.2">
      <c r="A290" s="20"/>
      <c r="R290" s="20"/>
      <c r="S290" s="20"/>
      <c r="T290" s="20"/>
      <c r="U290" s="20"/>
      <c r="V290" s="20"/>
      <c r="W290" s="20"/>
      <c r="X290" s="20"/>
      <c r="Y290" s="20"/>
      <c r="Z290" s="20"/>
      <c r="AA290" s="20"/>
    </row>
    <row r="291" spans="1:27" ht="12.75" x14ac:dyDescent="0.2">
      <c r="A291" s="20"/>
      <c r="R291" s="20"/>
      <c r="S291" s="20"/>
      <c r="T291" s="20"/>
      <c r="U291" s="20"/>
      <c r="V291" s="20"/>
      <c r="W291" s="20"/>
      <c r="X291" s="20"/>
      <c r="Y291" s="20"/>
      <c r="Z291" s="20"/>
      <c r="AA291" s="20"/>
    </row>
    <row r="292" spans="1:27" ht="12.75" x14ac:dyDescent="0.2">
      <c r="A292" s="20"/>
      <c r="R292" s="20"/>
      <c r="S292" s="20"/>
      <c r="T292" s="20"/>
      <c r="U292" s="20"/>
      <c r="V292" s="20"/>
      <c r="W292" s="20"/>
      <c r="X292" s="20"/>
      <c r="Y292" s="20"/>
      <c r="Z292" s="20"/>
      <c r="AA292" s="20"/>
    </row>
    <row r="293" spans="1:27" ht="12.75" x14ac:dyDescent="0.2">
      <c r="A293" s="20"/>
      <c r="R293" s="20"/>
      <c r="S293" s="20"/>
      <c r="T293" s="20"/>
      <c r="U293" s="20"/>
      <c r="V293" s="20"/>
      <c r="W293" s="20"/>
      <c r="X293" s="20"/>
      <c r="Y293" s="20"/>
      <c r="Z293" s="20"/>
      <c r="AA293" s="20"/>
    </row>
    <row r="294" spans="1:27" ht="12.75" x14ac:dyDescent="0.2">
      <c r="A294" s="20"/>
      <c r="R294" s="20"/>
      <c r="S294" s="20"/>
      <c r="T294" s="20"/>
      <c r="U294" s="20"/>
      <c r="V294" s="20"/>
      <c r="W294" s="20"/>
      <c r="X294" s="20"/>
      <c r="Y294" s="20"/>
      <c r="Z294" s="20"/>
      <c r="AA294" s="20"/>
    </row>
    <row r="295" spans="1:27" ht="12.75" x14ac:dyDescent="0.2">
      <c r="A295" s="20"/>
      <c r="R295" s="20"/>
      <c r="S295" s="20"/>
      <c r="T295" s="20"/>
      <c r="U295" s="20"/>
      <c r="V295" s="20"/>
      <c r="W295" s="20"/>
      <c r="X295" s="20"/>
      <c r="Y295" s="20"/>
      <c r="Z295" s="20"/>
      <c r="AA295" s="20"/>
    </row>
    <row r="296" spans="1:27" ht="12.75" x14ac:dyDescent="0.2">
      <c r="A296" s="20"/>
      <c r="R296" s="20"/>
      <c r="S296" s="20"/>
      <c r="T296" s="20"/>
      <c r="U296" s="20"/>
      <c r="V296" s="20"/>
      <c r="W296" s="20"/>
      <c r="X296" s="20"/>
      <c r="Y296" s="20"/>
      <c r="Z296" s="20"/>
      <c r="AA296" s="20"/>
    </row>
    <row r="297" spans="1:27" ht="12.75" x14ac:dyDescent="0.2">
      <c r="A297" s="20"/>
      <c r="R297" s="20"/>
      <c r="S297" s="20"/>
      <c r="T297" s="20"/>
      <c r="U297" s="20"/>
      <c r="V297" s="20"/>
      <c r="W297" s="20"/>
      <c r="X297" s="20"/>
      <c r="Y297" s="20"/>
      <c r="Z297" s="20"/>
      <c r="AA297" s="20"/>
    </row>
    <row r="298" spans="1:27" ht="12.75" x14ac:dyDescent="0.2">
      <c r="A298" s="20"/>
      <c r="R298" s="20"/>
      <c r="S298" s="20"/>
      <c r="T298" s="20"/>
      <c r="U298" s="20"/>
      <c r="V298" s="20"/>
      <c r="W298" s="20"/>
      <c r="X298" s="20"/>
      <c r="Y298" s="20"/>
      <c r="Z298" s="20"/>
      <c r="AA298" s="20"/>
    </row>
    <row r="299" spans="1:27" ht="12.75" x14ac:dyDescent="0.2">
      <c r="A299" s="20"/>
      <c r="R299" s="20"/>
      <c r="S299" s="20"/>
      <c r="T299" s="20"/>
      <c r="U299" s="20"/>
      <c r="V299" s="20"/>
      <c r="W299" s="20"/>
      <c r="X299" s="20"/>
      <c r="Y299" s="20"/>
      <c r="Z299" s="20"/>
      <c r="AA299" s="20"/>
    </row>
    <row r="300" spans="1:27" ht="12.75" x14ac:dyDescent="0.2">
      <c r="A300" s="20"/>
      <c r="R300" s="20"/>
      <c r="S300" s="20"/>
      <c r="T300" s="20"/>
      <c r="U300" s="20"/>
      <c r="V300" s="20"/>
      <c r="W300" s="20"/>
      <c r="X300" s="20"/>
      <c r="Y300" s="20"/>
      <c r="Z300" s="20"/>
      <c r="AA300" s="20"/>
    </row>
    <row r="301" spans="1:27" ht="12.75" x14ac:dyDescent="0.2">
      <c r="A301" s="20"/>
      <c r="R301" s="20"/>
      <c r="S301" s="20"/>
      <c r="T301" s="20"/>
      <c r="U301" s="20"/>
      <c r="V301" s="20"/>
      <c r="W301" s="20"/>
      <c r="X301" s="20"/>
      <c r="Y301" s="20"/>
      <c r="Z301" s="20"/>
      <c r="AA301" s="20"/>
    </row>
    <row r="302" spans="1:27" ht="12.75" x14ac:dyDescent="0.2">
      <c r="A302" s="20"/>
      <c r="R302" s="20"/>
      <c r="S302" s="20"/>
      <c r="T302" s="20"/>
      <c r="U302" s="20"/>
      <c r="V302" s="20"/>
      <c r="W302" s="20"/>
      <c r="X302" s="20"/>
      <c r="Y302" s="20"/>
      <c r="Z302" s="20"/>
      <c r="AA302" s="20"/>
    </row>
    <row r="303" spans="1:27" ht="12.75" x14ac:dyDescent="0.2">
      <c r="A303" s="20"/>
      <c r="R303" s="20"/>
      <c r="S303" s="20"/>
      <c r="T303" s="20"/>
      <c r="U303" s="20"/>
      <c r="V303" s="20"/>
      <c r="W303" s="20"/>
      <c r="X303" s="20"/>
      <c r="Y303" s="20"/>
      <c r="Z303" s="20"/>
      <c r="AA303" s="20"/>
    </row>
    <row r="304" spans="1:27" ht="12.75" x14ac:dyDescent="0.2">
      <c r="A304" s="20"/>
      <c r="R304" s="20"/>
      <c r="S304" s="20"/>
      <c r="T304" s="20"/>
      <c r="U304" s="20"/>
      <c r="V304" s="20"/>
      <c r="W304" s="20"/>
      <c r="X304" s="20"/>
      <c r="Y304" s="20"/>
      <c r="Z304" s="20"/>
      <c r="AA304" s="20"/>
    </row>
    <row r="305" spans="1:27" ht="12.75" x14ac:dyDescent="0.2">
      <c r="A305" s="20"/>
      <c r="R305" s="20"/>
      <c r="S305" s="20"/>
      <c r="T305" s="20"/>
      <c r="U305" s="20"/>
      <c r="V305" s="20"/>
      <c r="W305" s="20"/>
      <c r="X305" s="20"/>
      <c r="Y305" s="20"/>
      <c r="Z305" s="20"/>
      <c r="AA305" s="20"/>
    </row>
    <row r="306" spans="1:27" ht="12.75" x14ac:dyDescent="0.2">
      <c r="A306" s="20"/>
      <c r="R306" s="20"/>
      <c r="S306" s="20"/>
      <c r="T306" s="20"/>
      <c r="U306" s="20"/>
      <c r="V306" s="20"/>
      <c r="W306" s="20"/>
      <c r="X306" s="20"/>
      <c r="Y306" s="20"/>
      <c r="Z306" s="20"/>
      <c r="AA306" s="20"/>
    </row>
    <row r="307" spans="1:27" ht="12.75" x14ac:dyDescent="0.2">
      <c r="A307" s="20"/>
      <c r="R307" s="20"/>
      <c r="S307" s="20"/>
      <c r="T307" s="20"/>
      <c r="U307" s="20"/>
      <c r="V307" s="20"/>
      <c r="W307" s="20"/>
      <c r="X307" s="20"/>
      <c r="Y307" s="20"/>
      <c r="Z307" s="20"/>
      <c r="AA307" s="20"/>
    </row>
    <row r="308" spans="1:27" ht="12.75" x14ac:dyDescent="0.2">
      <c r="A308" s="20"/>
      <c r="R308" s="20"/>
      <c r="S308" s="20"/>
      <c r="T308" s="20"/>
      <c r="U308" s="20"/>
      <c r="V308" s="20"/>
      <c r="W308" s="20"/>
      <c r="X308" s="20"/>
      <c r="Y308" s="20"/>
      <c r="Z308" s="20"/>
      <c r="AA308" s="20"/>
    </row>
    <row r="309" spans="1:27" ht="12.75" x14ac:dyDescent="0.2">
      <c r="A309" s="20"/>
      <c r="R309" s="20"/>
      <c r="S309" s="20"/>
      <c r="T309" s="20"/>
      <c r="U309" s="20"/>
      <c r="V309" s="20"/>
      <c r="W309" s="20"/>
      <c r="X309" s="20"/>
      <c r="Y309" s="20"/>
      <c r="Z309" s="20"/>
      <c r="AA309" s="20"/>
    </row>
    <row r="310" spans="1:27" ht="12.75" x14ac:dyDescent="0.2">
      <c r="A310" s="20"/>
      <c r="R310" s="20"/>
      <c r="S310" s="20"/>
      <c r="T310" s="20"/>
      <c r="U310" s="20"/>
      <c r="V310" s="20"/>
      <c r="W310" s="20"/>
      <c r="X310" s="20"/>
      <c r="Y310" s="20"/>
      <c r="Z310" s="20"/>
      <c r="AA310" s="20"/>
    </row>
    <row r="311" spans="1:27" ht="12.75" x14ac:dyDescent="0.2">
      <c r="A311" s="20"/>
      <c r="R311" s="20"/>
      <c r="S311" s="20"/>
      <c r="T311" s="20"/>
      <c r="U311" s="20"/>
      <c r="V311" s="20"/>
      <c r="W311" s="20"/>
      <c r="X311" s="20"/>
      <c r="Y311" s="20"/>
      <c r="Z311" s="20"/>
      <c r="AA311" s="20"/>
    </row>
    <row r="312" spans="1:27" ht="12.75" x14ac:dyDescent="0.2">
      <c r="A312" s="20"/>
      <c r="R312" s="20"/>
      <c r="S312" s="20"/>
      <c r="T312" s="20"/>
      <c r="U312" s="20"/>
      <c r="V312" s="20"/>
      <c r="W312" s="20"/>
      <c r="X312" s="20"/>
      <c r="Y312" s="20"/>
      <c r="Z312" s="20"/>
      <c r="AA312" s="20"/>
    </row>
    <row r="313" spans="1:27" ht="12.75" x14ac:dyDescent="0.2">
      <c r="A313" s="20"/>
      <c r="R313" s="20"/>
      <c r="S313" s="20"/>
      <c r="T313" s="20"/>
      <c r="U313" s="20"/>
      <c r="V313" s="20"/>
      <c r="W313" s="20"/>
      <c r="X313" s="20"/>
      <c r="Y313" s="20"/>
      <c r="Z313" s="20"/>
      <c r="AA313" s="20"/>
    </row>
    <row r="314" spans="1:27" ht="12.75" x14ac:dyDescent="0.2">
      <c r="A314" s="20"/>
      <c r="R314" s="20"/>
      <c r="S314" s="20"/>
      <c r="T314" s="20"/>
      <c r="U314" s="20"/>
      <c r="V314" s="20"/>
      <c r="W314" s="20"/>
      <c r="X314" s="20"/>
      <c r="Y314" s="20"/>
      <c r="Z314" s="20"/>
      <c r="AA314" s="20"/>
    </row>
    <row r="315" spans="1:27" ht="12.75" x14ac:dyDescent="0.2">
      <c r="A315" s="20"/>
      <c r="R315" s="20"/>
      <c r="S315" s="20"/>
      <c r="T315" s="20"/>
      <c r="U315" s="20"/>
      <c r="V315" s="20"/>
      <c r="W315" s="20"/>
      <c r="X315" s="20"/>
      <c r="Y315" s="20"/>
      <c r="Z315" s="20"/>
      <c r="AA315" s="20"/>
    </row>
    <row r="316" spans="1:27" ht="12.75" x14ac:dyDescent="0.2">
      <c r="A316" s="20"/>
      <c r="R316" s="20"/>
      <c r="S316" s="20"/>
      <c r="T316" s="20"/>
      <c r="U316" s="20"/>
      <c r="V316" s="20"/>
      <c r="W316" s="20"/>
      <c r="X316" s="20"/>
      <c r="Y316" s="20"/>
      <c r="Z316" s="20"/>
      <c r="AA316" s="20"/>
    </row>
    <row r="317" spans="1:27" ht="12.75" x14ac:dyDescent="0.2">
      <c r="A317" s="20"/>
      <c r="R317" s="20"/>
      <c r="S317" s="20"/>
      <c r="T317" s="20"/>
      <c r="U317" s="20"/>
      <c r="V317" s="20"/>
      <c r="W317" s="20"/>
      <c r="X317" s="20"/>
      <c r="Y317" s="20"/>
      <c r="Z317" s="20"/>
      <c r="AA317" s="20"/>
    </row>
    <row r="318" spans="1:27" ht="12.75" x14ac:dyDescent="0.2">
      <c r="A318" s="20"/>
      <c r="R318" s="20"/>
      <c r="S318" s="20"/>
      <c r="T318" s="20"/>
      <c r="U318" s="20"/>
      <c r="V318" s="20"/>
      <c r="W318" s="20"/>
      <c r="X318" s="20"/>
      <c r="Y318" s="20"/>
      <c r="Z318" s="20"/>
      <c r="AA318" s="20"/>
    </row>
    <row r="319" spans="1:27" ht="12.75" x14ac:dyDescent="0.2">
      <c r="A319" s="20"/>
      <c r="R319" s="20"/>
      <c r="S319" s="20"/>
      <c r="T319" s="20"/>
      <c r="U319" s="20"/>
      <c r="V319" s="20"/>
      <c r="W319" s="20"/>
      <c r="X319" s="20"/>
      <c r="Y319" s="20"/>
      <c r="Z319" s="20"/>
      <c r="AA319" s="20"/>
    </row>
    <row r="320" spans="1:27" ht="12.75" x14ac:dyDescent="0.2">
      <c r="A320" s="20"/>
      <c r="R320" s="20"/>
      <c r="S320" s="20"/>
      <c r="T320" s="20"/>
      <c r="U320" s="20"/>
      <c r="V320" s="20"/>
      <c r="W320" s="20"/>
      <c r="X320" s="20"/>
      <c r="Y320" s="20"/>
      <c r="Z320" s="20"/>
      <c r="AA320" s="20"/>
    </row>
    <row r="321" spans="1:27" ht="12.75" x14ac:dyDescent="0.2">
      <c r="A321" s="20"/>
      <c r="R321" s="20"/>
      <c r="S321" s="20"/>
      <c r="T321" s="20"/>
      <c r="U321" s="20"/>
      <c r="V321" s="20"/>
      <c r="W321" s="20"/>
      <c r="X321" s="20"/>
      <c r="Y321" s="20"/>
      <c r="Z321" s="20"/>
      <c r="AA321" s="20"/>
    </row>
    <row r="322" spans="1:27" ht="12.75" x14ac:dyDescent="0.2">
      <c r="A322" s="20"/>
      <c r="R322" s="20"/>
      <c r="S322" s="20"/>
      <c r="T322" s="20"/>
      <c r="U322" s="20"/>
      <c r="V322" s="20"/>
      <c r="W322" s="20"/>
      <c r="X322" s="20"/>
      <c r="Y322" s="20"/>
      <c r="Z322" s="20"/>
      <c r="AA322" s="20"/>
    </row>
    <row r="323" spans="1:27" ht="12.75" x14ac:dyDescent="0.2">
      <c r="A323" s="20"/>
      <c r="R323" s="20"/>
      <c r="S323" s="20"/>
      <c r="T323" s="20"/>
      <c r="U323" s="20"/>
      <c r="V323" s="20"/>
      <c r="W323" s="20"/>
      <c r="X323" s="20"/>
      <c r="Y323" s="20"/>
      <c r="Z323" s="20"/>
      <c r="AA323" s="20"/>
    </row>
    <row r="324" spans="1:27" ht="12.75" x14ac:dyDescent="0.2">
      <c r="A324" s="20"/>
      <c r="R324" s="20"/>
      <c r="S324" s="20"/>
      <c r="T324" s="20"/>
      <c r="U324" s="20"/>
      <c r="V324" s="20"/>
      <c r="W324" s="20"/>
      <c r="X324" s="20"/>
      <c r="Y324" s="20"/>
      <c r="Z324" s="20"/>
      <c r="AA324" s="20"/>
    </row>
    <row r="325" spans="1:27" ht="12.75" x14ac:dyDescent="0.2">
      <c r="A325" s="20"/>
      <c r="R325" s="20"/>
      <c r="S325" s="20"/>
      <c r="T325" s="20"/>
      <c r="U325" s="20"/>
      <c r="V325" s="20"/>
      <c r="W325" s="20"/>
      <c r="X325" s="20"/>
      <c r="Y325" s="20"/>
      <c r="Z325" s="20"/>
      <c r="AA325" s="20"/>
    </row>
    <row r="326" spans="1:27" ht="12.75" x14ac:dyDescent="0.2">
      <c r="A326" s="20"/>
      <c r="R326" s="20"/>
      <c r="S326" s="20"/>
      <c r="T326" s="20"/>
      <c r="U326" s="20"/>
      <c r="V326" s="20"/>
      <c r="W326" s="20"/>
      <c r="X326" s="20"/>
      <c r="Y326" s="20"/>
      <c r="Z326" s="20"/>
      <c r="AA326" s="20"/>
    </row>
    <row r="327" spans="1:27" ht="12.75" x14ac:dyDescent="0.2">
      <c r="A327" s="20"/>
      <c r="R327" s="20"/>
      <c r="S327" s="20"/>
      <c r="T327" s="20"/>
      <c r="U327" s="20"/>
      <c r="V327" s="20"/>
      <c r="W327" s="20"/>
      <c r="X327" s="20"/>
      <c r="Y327" s="20"/>
      <c r="Z327" s="20"/>
      <c r="AA327" s="20"/>
    </row>
    <row r="328" spans="1:27" ht="12.75" x14ac:dyDescent="0.2">
      <c r="A328" s="20"/>
      <c r="R328" s="20"/>
      <c r="S328" s="20"/>
      <c r="T328" s="20"/>
      <c r="U328" s="20"/>
      <c r="V328" s="20"/>
      <c r="W328" s="20"/>
      <c r="X328" s="20"/>
      <c r="Y328" s="20"/>
      <c r="Z328" s="20"/>
      <c r="AA328" s="20"/>
    </row>
    <row r="329" spans="1:27" ht="12.75" x14ac:dyDescent="0.2">
      <c r="A329" s="20"/>
      <c r="R329" s="20"/>
      <c r="S329" s="20"/>
      <c r="T329" s="20"/>
      <c r="U329" s="20"/>
      <c r="V329" s="20"/>
      <c r="W329" s="20"/>
      <c r="X329" s="20"/>
      <c r="Y329" s="20"/>
      <c r="Z329" s="20"/>
      <c r="AA329" s="20"/>
    </row>
    <row r="330" spans="1:27" ht="12.75" x14ac:dyDescent="0.2">
      <c r="A330" s="20"/>
      <c r="R330" s="20"/>
      <c r="S330" s="20"/>
      <c r="T330" s="20"/>
      <c r="U330" s="20"/>
      <c r="V330" s="20"/>
      <c r="W330" s="20"/>
      <c r="X330" s="20"/>
      <c r="Y330" s="20"/>
      <c r="Z330" s="20"/>
      <c r="AA330" s="20"/>
    </row>
    <row r="331" spans="1:27" ht="12.75" x14ac:dyDescent="0.2">
      <c r="A331" s="20"/>
      <c r="R331" s="20"/>
      <c r="S331" s="20"/>
      <c r="T331" s="20"/>
      <c r="U331" s="20"/>
      <c r="V331" s="20"/>
      <c r="W331" s="20"/>
      <c r="X331" s="20"/>
      <c r="Y331" s="20"/>
      <c r="Z331" s="20"/>
      <c r="AA331" s="20"/>
    </row>
    <row r="332" spans="1:27" ht="12.75" x14ac:dyDescent="0.2">
      <c r="A332" s="20"/>
      <c r="R332" s="20"/>
      <c r="S332" s="20"/>
      <c r="T332" s="20"/>
      <c r="U332" s="20"/>
      <c r="V332" s="20"/>
      <c r="W332" s="20"/>
      <c r="X332" s="20"/>
      <c r="Y332" s="20"/>
      <c r="Z332" s="20"/>
      <c r="AA332" s="20"/>
    </row>
    <row r="333" spans="1:27" ht="12.75" x14ac:dyDescent="0.2">
      <c r="A333" s="20"/>
      <c r="R333" s="20"/>
      <c r="S333" s="20"/>
      <c r="T333" s="20"/>
      <c r="U333" s="20"/>
      <c r="V333" s="20"/>
      <c r="W333" s="20"/>
      <c r="X333" s="20"/>
      <c r="Y333" s="20"/>
      <c r="Z333" s="20"/>
      <c r="AA333" s="20"/>
    </row>
    <row r="334" spans="1:27" ht="12.75" x14ac:dyDescent="0.2">
      <c r="A334" s="20"/>
      <c r="R334" s="20"/>
      <c r="S334" s="20"/>
      <c r="T334" s="20"/>
      <c r="U334" s="20"/>
      <c r="V334" s="20"/>
      <c r="W334" s="20"/>
      <c r="X334" s="20"/>
      <c r="Y334" s="20"/>
      <c r="Z334" s="20"/>
      <c r="AA334" s="20"/>
    </row>
    <row r="335" spans="1:27" ht="12.75" x14ac:dyDescent="0.2">
      <c r="A335" s="20"/>
      <c r="R335" s="20"/>
      <c r="S335" s="20"/>
      <c r="T335" s="20"/>
      <c r="U335" s="20"/>
      <c r="V335" s="20"/>
      <c r="W335" s="20"/>
      <c r="X335" s="20"/>
      <c r="Y335" s="20"/>
      <c r="Z335" s="20"/>
      <c r="AA335" s="20"/>
    </row>
    <row r="336" spans="1:27" ht="12.75" x14ac:dyDescent="0.2">
      <c r="A336" s="20"/>
      <c r="R336" s="20"/>
      <c r="S336" s="20"/>
      <c r="T336" s="20"/>
      <c r="U336" s="20"/>
      <c r="V336" s="20"/>
      <c r="W336" s="20"/>
      <c r="X336" s="20"/>
      <c r="Y336" s="20"/>
      <c r="Z336" s="20"/>
      <c r="AA336" s="20"/>
    </row>
    <row r="337" spans="1:27" ht="12.75" x14ac:dyDescent="0.2">
      <c r="A337" s="20"/>
      <c r="R337" s="20"/>
      <c r="S337" s="20"/>
      <c r="T337" s="20"/>
      <c r="U337" s="20"/>
      <c r="V337" s="20"/>
      <c r="W337" s="20"/>
      <c r="X337" s="20"/>
      <c r="Y337" s="20"/>
      <c r="Z337" s="20"/>
      <c r="AA337" s="20"/>
    </row>
    <row r="338" spans="1:27" ht="12.75" x14ac:dyDescent="0.2">
      <c r="A338" s="20"/>
      <c r="R338" s="20"/>
      <c r="S338" s="20"/>
      <c r="T338" s="20"/>
      <c r="U338" s="20"/>
      <c r="V338" s="20"/>
      <c r="W338" s="20"/>
      <c r="X338" s="20"/>
      <c r="Y338" s="20"/>
      <c r="Z338" s="20"/>
      <c r="AA338" s="20"/>
    </row>
    <row r="339" spans="1:27" ht="12.75" x14ac:dyDescent="0.2">
      <c r="A339" s="20"/>
      <c r="R339" s="20"/>
      <c r="S339" s="20"/>
      <c r="T339" s="20"/>
      <c r="U339" s="20"/>
      <c r="V339" s="20"/>
      <c r="W339" s="20"/>
      <c r="X339" s="20"/>
      <c r="Y339" s="20"/>
      <c r="Z339" s="20"/>
      <c r="AA339" s="20"/>
    </row>
    <row r="340" spans="1:27" ht="12.75" x14ac:dyDescent="0.2">
      <c r="A340" s="20"/>
      <c r="R340" s="20"/>
      <c r="S340" s="20"/>
      <c r="T340" s="20"/>
      <c r="U340" s="20"/>
      <c r="V340" s="20"/>
      <c r="W340" s="20"/>
      <c r="X340" s="20"/>
      <c r="Y340" s="20"/>
      <c r="Z340" s="20"/>
      <c r="AA340" s="20"/>
    </row>
    <row r="341" spans="1:27" ht="12.75" x14ac:dyDescent="0.2">
      <c r="A341" s="20"/>
      <c r="R341" s="20"/>
      <c r="S341" s="20"/>
      <c r="T341" s="20"/>
      <c r="U341" s="20"/>
      <c r="V341" s="20"/>
      <c r="W341" s="20"/>
      <c r="X341" s="20"/>
      <c r="Y341" s="20"/>
      <c r="Z341" s="20"/>
      <c r="AA341" s="20"/>
    </row>
    <row r="342" spans="1:27" ht="12.75" x14ac:dyDescent="0.2">
      <c r="A342" s="20"/>
      <c r="R342" s="20"/>
      <c r="S342" s="20"/>
      <c r="T342" s="20"/>
      <c r="U342" s="20"/>
      <c r="V342" s="20"/>
      <c r="W342" s="20"/>
      <c r="X342" s="20"/>
      <c r="Y342" s="20"/>
      <c r="Z342" s="20"/>
      <c r="AA342" s="20"/>
    </row>
    <row r="343" spans="1:27" ht="12.75" x14ac:dyDescent="0.2">
      <c r="A343" s="20"/>
      <c r="R343" s="20"/>
      <c r="S343" s="20"/>
      <c r="T343" s="20"/>
      <c r="U343" s="20"/>
      <c r="V343" s="20"/>
      <c r="W343" s="20"/>
      <c r="X343" s="20"/>
      <c r="Y343" s="20"/>
      <c r="Z343" s="20"/>
      <c r="AA343" s="20"/>
    </row>
    <row r="344" spans="1:27" ht="12.75" x14ac:dyDescent="0.2">
      <c r="A344" s="20"/>
      <c r="R344" s="20"/>
      <c r="S344" s="20"/>
      <c r="T344" s="20"/>
      <c r="U344" s="20"/>
      <c r="V344" s="20"/>
      <c r="W344" s="20"/>
      <c r="X344" s="20"/>
      <c r="Y344" s="20"/>
      <c r="Z344" s="20"/>
      <c r="AA344" s="20"/>
    </row>
    <row r="345" spans="1:27" ht="12.75" x14ac:dyDescent="0.2">
      <c r="A345" s="20"/>
      <c r="R345" s="20"/>
      <c r="S345" s="20"/>
      <c r="T345" s="20"/>
      <c r="U345" s="20"/>
      <c r="V345" s="20"/>
      <c r="W345" s="20"/>
      <c r="X345" s="20"/>
      <c r="Y345" s="20"/>
      <c r="Z345" s="20"/>
      <c r="AA345" s="20"/>
    </row>
    <row r="346" spans="1:27" ht="12.75" x14ac:dyDescent="0.2">
      <c r="A346" s="20"/>
      <c r="R346" s="20"/>
      <c r="S346" s="20"/>
      <c r="T346" s="20"/>
      <c r="U346" s="20"/>
      <c r="V346" s="20"/>
      <c r="W346" s="20"/>
      <c r="X346" s="20"/>
      <c r="Y346" s="20"/>
      <c r="Z346" s="20"/>
      <c r="AA346" s="20"/>
    </row>
    <row r="347" spans="1:27" ht="12.75" x14ac:dyDescent="0.2">
      <c r="A347" s="20"/>
      <c r="R347" s="20"/>
      <c r="S347" s="20"/>
      <c r="T347" s="20"/>
      <c r="U347" s="20"/>
      <c r="V347" s="20"/>
      <c r="W347" s="20"/>
      <c r="X347" s="20"/>
      <c r="Y347" s="20"/>
      <c r="Z347" s="20"/>
      <c r="AA347" s="20"/>
    </row>
    <row r="348" spans="1:27" ht="12.75" x14ac:dyDescent="0.2">
      <c r="A348" s="20"/>
      <c r="R348" s="20"/>
      <c r="S348" s="20"/>
      <c r="T348" s="20"/>
      <c r="U348" s="20"/>
      <c r="V348" s="20"/>
      <c r="W348" s="20"/>
      <c r="X348" s="20"/>
      <c r="Y348" s="20"/>
      <c r="Z348" s="20"/>
      <c r="AA348" s="20"/>
    </row>
    <row r="349" spans="1:27" ht="12.75" x14ac:dyDescent="0.2">
      <c r="A349" s="20"/>
      <c r="R349" s="20"/>
      <c r="S349" s="20"/>
      <c r="T349" s="20"/>
      <c r="U349" s="20"/>
      <c r="V349" s="20"/>
      <c r="W349" s="20"/>
      <c r="X349" s="20"/>
      <c r="Y349" s="20"/>
      <c r="Z349" s="20"/>
      <c r="AA349" s="20"/>
    </row>
    <row r="350" spans="1:27" ht="12.75" x14ac:dyDescent="0.2">
      <c r="A350" s="20"/>
      <c r="R350" s="20"/>
      <c r="S350" s="20"/>
      <c r="T350" s="20"/>
      <c r="U350" s="20"/>
      <c r="V350" s="20"/>
      <c r="W350" s="20"/>
      <c r="X350" s="20"/>
      <c r="Y350" s="20"/>
      <c r="Z350" s="20"/>
      <c r="AA350" s="20"/>
    </row>
    <row r="351" spans="1:27" ht="12.75" x14ac:dyDescent="0.2">
      <c r="A351" s="20"/>
      <c r="R351" s="20"/>
      <c r="S351" s="20"/>
      <c r="T351" s="20"/>
      <c r="U351" s="20"/>
      <c r="V351" s="20"/>
      <c r="W351" s="20"/>
      <c r="X351" s="20"/>
      <c r="Y351" s="20"/>
      <c r="Z351" s="20"/>
      <c r="AA351" s="20"/>
    </row>
    <row r="352" spans="1:27" ht="12.75" x14ac:dyDescent="0.2">
      <c r="A352" s="20"/>
      <c r="R352" s="20"/>
      <c r="S352" s="20"/>
      <c r="T352" s="20"/>
      <c r="U352" s="20"/>
      <c r="V352" s="20"/>
      <c r="W352" s="20"/>
      <c r="X352" s="20"/>
      <c r="Y352" s="20"/>
      <c r="Z352" s="20"/>
      <c r="AA352" s="20"/>
    </row>
    <row r="353" spans="1:27" ht="12.75" x14ac:dyDescent="0.2">
      <c r="A353" s="20"/>
      <c r="R353" s="20"/>
      <c r="S353" s="20"/>
      <c r="T353" s="20"/>
      <c r="U353" s="20"/>
      <c r="V353" s="20"/>
      <c r="W353" s="20"/>
      <c r="X353" s="20"/>
      <c r="Y353" s="20"/>
      <c r="Z353" s="20"/>
      <c r="AA353" s="20"/>
    </row>
    <row r="354" spans="1:27" ht="12.75" x14ac:dyDescent="0.2">
      <c r="A354" s="20"/>
      <c r="R354" s="20"/>
      <c r="S354" s="20"/>
      <c r="T354" s="20"/>
      <c r="U354" s="20"/>
      <c r="V354" s="20"/>
      <c r="W354" s="20"/>
      <c r="X354" s="20"/>
      <c r="Y354" s="20"/>
      <c r="Z354" s="20"/>
      <c r="AA354" s="20"/>
    </row>
    <row r="355" spans="1:27" ht="12.75" x14ac:dyDescent="0.2">
      <c r="A355" s="20"/>
      <c r="R355" s="20"/>
      <c r="S355" s="20"/>
      <c r="T355" s="20"/>
      <c r="U355" s="20"/>
      <c r="V355" s="20"/>
      <c r="W355" s="20"/>
      <c r="X355" s="20"/>
      <c r="Y355" s="20"/>
      <c r="Z355" s="20"/>
      <c r="AA355" s="20"/>
    </row>
    <row r="356" spans="1:27" ht="12.75" x14ac:dyDescent="0.2">
      <c r="A356" s="20"/>
      <c r="R356" s="20"/>
      <c r="S356" s="20"/>
      <c r="T356" s="20"/>
      <c r="U356" s="20"/>
      <c r="V356" s="20"/>
      <c r="W356" s="20"/>
      <c r="X356" s="20"/>
      <c r="Y356" s="20"/>
      <c r="Z356" s="20"/>
      <c r="AA356" s="20"/>
    </row>
    <row r="357" spans="1:27" ht="12.75" x14ac:dyDescent="0.2">
      <c r="A357" s="20"/>
      <c r="R357" s="20"/>
      <c r="S357" s="20"/>
      <c r="T357" s="20"/>
      <c r="U357" s="20"/>
      <c r="V357" s="20"/>
      <c r="W357" s="20"/>
      <c r="X357" s="20"/>
      <c r="Y357" s="20"/>
      <c r="Z357" s="20"/>
      <c r="AA357" s="20"/>
    </row>
    <row r="358" spans="1:27" ht="12.75" x14ac:dyDescent="0.2">
      <c r="A358" s="20"/>
      <c r="R358" s="20"/>
      <c r="S358" s="20"/>
      <c r="T358" s="20"/>
      <c r="U358" s="20"/>
      <c r="V358" s="20"/>
      <c r="W358" s="20"/>
      <c r="X358" s="20"/>
      <c r="Y358" s="20"/>
      <c r="Z358" s="20"/>
      <c r="AA358" s="20"/>
    </row>
    <row r="359" spans="1:27" ht="12.75" x14ac:dyDescent="0.2">
      <c r="A359" s="20"/>
      <c r="R359" s="20"/>
      <c r="S359" s="20"/>
      <c r="T359" s="20"/>
      <c r="U359" s="20"/>
      <c r="V359" s="20"/>
      <c r="W359" s="20"/>
      <c r="X359" s="20"/>
      <c r="Y359" s="20"/>
      <c r="Z359" s="20"/>
      <c r="AA359" s="20"/>
    </row>
    <row r="360" spans="1:27" ht="12.75" x14ac:dyDescent="0.2">
      <c r="A360" s="20"/>
      <c r="R360" s="20"/>
      <c r="S360" s="20"/>
      <c r="T360" s="20"/>
      <c r="U360" s="20"/>
      <c r="V360" s="20"/>
      <c r="W360" s="20"/>
      <c r="X360" s="20"/>
      <c r="Y360" s="20"/>
      <c r="Z360" s="20"/>
      <c r="AA360" s="20"/>
    </row>
    <row r="361" spans="1:27" ht="12.75" x14ac:dyDescent="0.2">
      <c r="A361" s="20"/>
      <c r="R361" s="20"/>
      <c r="S361" s="20"/>
      <c r="T361" s="20"/>
      <c r="U361" s="20"/>
      <c r="V361" s="20"/>
      <c r="W361" s="20"/>
      <c r="X361" s="20"/>
      <c r="Y361" s="20"/>
      <c r="Z361" s="20"/>
      <c r="AA361" s="20"/>
    </row>
    <row r="362" spans="1:27" ht="12.75" x14ac:dyDescent="0.2">
      <c r="A362" s="20"/>
      <c r="R362" s="20"/>
      <c r="S362" s="20"/>
      <c r="T362" s="20"/>
      <c r="U362" s="20"/>
      <c r="V362" s="20"/>
      <c r="W362" s="20"/>
      <c r="X362" s="20"/>
      <c r="Y362" s="20"/>
      <c r="Z362" s="20"/>
      <c r="AA362" s="20"/>
    </row>
    <row r="363" spans="1:27" ht="12.75" x14ac:dyDescent="0.2">
      <c r="A363" s="20"/>
      <c r="R363" s="20"/>
      <c r="S363" s="20"/>
      <c r="T363" s="20"/>
      <c r="U363" s="20"/>
      <c r="V363" s="20"/>
      <c r="W363" s="20"/>
      <c r="X363" s="20"/>
      <c r="Y363" s="20"/>
      <c r="Z363" s="20"/>
      <c r="AA363" s="20"/>
    </row>
    <row r="364" spans="1:27" ht="12.75" x14ac:dyDescent="0.2">
      <c r="A364" s="20"/>
      <c r="R364" s="20"/>
      <c r="S364" s="20"/>
      <c r="T364" s="20"/>
      <c r="U364" s="20"/>
      <c r="V364" s="20"/>
      <c r="W364" s="20"/>
      <c r="X364" s="20"/>
      <c r="Y364" s="20"/>
      <c r="Z364" s="20"/>
      <c r="AA364" s="20"/>
    </row>
    <row r="365" spans="1:27" ht="12.75" x14ac:dyDescent="0.2">
      <c r="A365" s="20"/>
      <c r="R365" s="20"/>
      <c r="S365" s="20"/>
      <c r="T365" s="20"/>
      <c r="U365" s="20"/>
      <c r="V365" s="20"/>
      <c r="W365" s="20"/>
      <c r="X365" s="20"/>
      <c r="Y365" s="20"/>
      <c r="Z365" s="20"/>
      <c r="AA365" s="20"/>
    </row>
    <row r="366" spans="1:27" ht="12.75" x14ac:dyDescent="0.2">
      <c r="A366" s="20"/>
      <c r="R366" s="20"/>
      <c r="S366" s="20"/>
      <c r="T366" s="20"/>
      <c r="U366" s="20"/>
      <c r="V366" s="20"/>
      <c r="W366" s="20"/>
      <c r="X366" s="20"/>
      <c r="Y366" s="20"/>
      <c r="Z366" s="20"/>
      <c r="AA366" s="20"/>
    </row>
    <row r="367" spans="1:27" ht="12.75" x14ac:dyDescent="0.2">
      <c r="A367" s="20"/>
      <c r="R367" s="20"/>
      <c r="S367" s="20"/>
      <c r="T367" s="20"/>
      <c r="U367" s="20"/>
      <c r="V367" s="20"/>
      <c r="W367" s="20"/>
      <c r="X367" s="20"/>
      <c r="Y367" s="20"/>
      <c r="Z367" s="20"/>
      <c r="AA367" s="20"/>
    </row>
    <row r="368" spans="1:27" ht="12.75" x14ac:dyDescent="0.2">
      <c r="A368" s="20"/>
      <c r="R368" s="20"/>
      <c r="S368" s="20"/>
      <c r="T368" s="20"/>
      <c r="U368" s="20"/>
      <c r="V368" s="20"/>
      <c r="W368" s="20"/>
      <c r="X368" s="20"/>
      <c r="Y368" s="20"/>
      <c r="Z368" s="20"/>
      <c r="AA368" s="20"/>
    </row>
    <row r="369" spans="1:27" ht="12.75" x14ac:dyDescent="0.2">
      <c r="A369" s="20"/>
      <c r="R369" s="20"/>
      <c r="S369" s="20"/>
      <c r="T369" s="20"/>
      <c r="U369" s="20"/>
      <c r="V369" s="20"/>
      <c r="W369" s="20"/>
      <c r="X369" s="20"/>
      <c r="Y369" s="20"/>
      <c r="Z369" s="20"/>
      <c r="AA369" s="20"/>
    </row>
    <row r="370" spans="1:27" ht="12.75" x14ac:dyDescent="0.2">
      <c r="A370" s="20"/>
      <c r="R370" s="20"/>
      <c r="S370" s="20"/>
      <c r="T370" s="20"/>
      <c r="U370" s="20"/>
      <c r="V370" s="20"/>
      <c r="W370" s="20"/>
      <c r="X370" s="20"/>
      <c r="Y370" s="20"/>
      <c r="Z370" s="20"/>
      <c r="AA370" s="20"/>
    </row>
    <row r="371" spans="1:27" ht="12.75" x14ac:dyDescent="0.2">
      <c r="A371" s="20"/>
      <c r="R371" s="20"/>
      <c r="S371" s="20"/>
      <c r="T371" s="20"/>
      <c r="U371" s="20"/>
      <c r="V371" s="20"/>
      <c r="W371" s="20"/>
      <c r="X371" s="20"/>
      <c r="Y371" s="20"/>
      <c r="Z371" s="20"/>
      <c r="AA371" s="20"/>
    </row>
    <row r="372" spans="1:27" ht="12.75" x14ac:dyDescent="0.2">
      <c r="A372" s="20"/>
      <c r="R372" s="20"/>
      <c r="S372" s="20"/>
      <c r="T372" s="20"/>
      <c r="U372" s="20"/>
      <c r="V372" s="20"/>
      <c r="W372" s="20"/>
      <c r="X372" s="20"/>
      <c r="Y372" s="20"/>
      <c r="Z372" s="20"/>
      <c r="AA372" s="20"/>
    </row>
    <row r="373" spans="1:27" ht="12.75" x14ac:dyDescent="0.2">
      <c r="A373" s="20"/>
      <c r="R373" s="20"/>
      <c r="S373" s="20"/>
      <c r="T373" s="20"/>
      <c r="U373" s="20"/>
      <c r="V373" s="20"/>
      <c r="W373" s="20"/>
      <c r="X373" s="20"/>
      <c r="Y373" s="20"/>
      <c r="Z373" s="20"/>
      <c r="AA373" s="20"/>
    </row>
    <row r="374" spans="1:27" ht="12.75" x14ac:dyDescent="0.2">
      <c r="A374" s="20"/>
      <c r="R374" s="20"/>
      <c r="S374" s="20"/>
      <c r="T374" s="20"/>
      <c r="U374" s="20"/>
      <c r="V374" s="20"/>
      <c r="W374" s="20"/>
      <c r="X374" s="20"/>
      <c r="Y374" s="20"/>
      <c r="Z374" s="20"/>
      <c r="AA374" s="20"/>
    </row>
    <row r="375" spans="1:27" ht="12.75" x14ac:dyDescent="0.2">
      <c r="A375" s="20"/>
      <c r="R375" s="20"/>
      <c r="S375" s="20"/>
      <c r="T375" s="20"/>
      <c r="U375" s="20"/>
      <c r="V375" s="20"/>
      <c r="W375" s="20"/>
      <c r="X375" s="20"/>
      <c r="Y375" s="20"/>
      <c r="Z375" s="20"/>
      <c r="AA375" s="20"/>
    </row>
    <row r="376" spans="1:27" ht="12.75" x14ac:dyDescent="0.2">
      <c r="A376" s="20"/>
      <c r="R376" s="20"/>
      <c r="S376" s="20"/>
      <c r="T376" s="20"/>
      <c r="U376" s="20"/>
      <c r="V376" s="20"/>
      <c r="W376" s="20"/>
      <c r="X376" s="20"/>
      <c r="Y376" s="20"/>
      <c r="Z376" s="20"/>
      <c r="AA376" s="20"/>
    </row>
    <row r="377" spans="1:27" ht="12.75" x14ac:dyDescent="0.2">
      <c r="A377" s="20"/>
      <c r="R377" s="20"/>
      <c r="S377" s="20"/>
      <c r="T377" s="20"/>
      <c r="U377" s="20"/>
      <c r="V377" s="20"/>
      <c r="W377" s="20"/>
      <c r="X377" s="20"/>
      <c r="Y377" s="20"/>
      <c r="Z377" s="20"/>
      <c r="AA377" s="20"/>
    </row>
    <row r="378" spans="1:27" ht="12.75" x14ac:dyDescent="0.2">
      <c r="A378" s="20"/>
      <c r="R378" s="20"/>
      <c r="S378" s="20"/>
      <c r="T378" s="20"/>
      <c r="U378" s="20"/>
      <c r="V378" s="20"/>
      <c r="W378" s="20"/>
      <c r="X378" s="20"/>
      <c r="Y378" s="20"/>
      <c r="Z378" s="20"/>
      <c r="AA378" s="20"/>
    </row>
    <row r="379" spans="1:27" ht="12.75" x14ac:dyDescent="0.2">
      <c r="A379" s="20"/>
      <c r="R379" s="20"/>
      <c r="S379" s="20"/>
      <c r="T379" s="20"/>
      <c r="U379" s="20"/>
      <c r="V379" s="20"/>
      <c r="W379" s="20"/>
      <c r="X379" s="20"/>
      <c r="Y379" s="20"/>
      <c r="Z379" s="20"/>
      <c r="AA379" s="20"/>
    </row>
    <row r="380" spans="1:27" ht="12.75" x14ac:dyDescent="0.2">
      <c r="A380" s="20"/>
      <c r="R380" s="20"/>
      <c r="S380" s="20"/>
      <c r="T380" s="20"/>
      <c r="U380" s="20"/>
      <c r="V380" s="20"/>
      <c r="W380" s="20"/>
      <c r="X380" s="20"/>
      <c r="Y380" s="20"/>
      <c r="Z380" s="20"/>
      <c r="AA380" s="20"/>
    </row>
    <row r="381" spans="1:27" ht="12.75" x14ac:dyDescent="0.2">
      <c r="A381" s="20"/>
      <c r="R381" s="20"/>
      <c r="S381" s="20"/>
      <c r="T381" s="20"/>
      <c r="U381" s="20"/>
      <c r="V381" s="20"/>
      <c r="W381" s="20"/>
      <c r="X381" s="20"/>
      <c r="Y381" s="20"/>
      <c r="Z381" s="20"/>
      <c r="AA381" s="20"/>
    </row>
    <row r="382" spans="1:27" ht="12.75" x14ac:dyDescent="0.2">
      <c r="A382" s="20"/>
      <c r="R382" s="20"/>
      <c r="S382" s="20"/>
      <c r="T382" s="20"/>
      <c r="U382" s="20"/>
      <c r="V382" s="20"/>
      <c r="W382" s="20"/>
      <c r="X382" s="20"/>
      <c r="Y382" s="20"/>
      <c r="Z382" s="20"/>
      <c r="AA382" s="20"/>
    </row>
    <row r="383" spans="1:27" ht="12.75" x14ac:dyDescent="0.2">
      <c r="A383" s="20"/>
      <c r="R383" s="20"/>
      <c r="S383" s="20"/>
      <c r="T383" s="20"/>
      <c r="U383" s="20"/>
      <c r="V383" s="20"/>
      <c r="W383" s="20"/>
      <c r="X383" s="20"/>
      <c r="Y383" s="20"/>
      <c r="Z383" s="20"/>
      <c r="AA383" s="20"/>
    </row>
    <row r="384" spans="1:27" ht="12.75" x14ac:dyDescent="0.2">
      <c r="A384" s="20"/>
      <c r="R384" s="20"/>
      <c r="S384" s="20"/>
      <c r="T384" s="20"/>
      <c r="U384" s="20"/>
      <c r="V384" s="20"/>
      <c r="W384" s="20"/>
      <c r="X384" s="20"/>
      <c r="Y384" s="20"/>
      <c r="Z384" s="20"/>
      <c r="AA384" s="20"/>
    </row>
    <row r="385" spans="1:27" ht="12.75" x14ac:dyDescent="0.2">
      <c r="A385" s="20"/>
      <c r="R385" s="20"/>
      <c r="S385" s="20"/>
      <c r="T385" s="20"/>
      <c r="U385" s="20"/>
      <c r="V385" s="20"/>
      <c r="W385" s="20"/>
      <c r="X385" s="20"/>
      <c r="Y385" s="20"/>
      <c r="Z385" s="20"/>
      <c r="AA385" s="20"/>
    </row>
    <row r="386" spans="1:27" ht="12.75" x14ac:dyDescent="0.2">
      <c r="A386" s="20"/>
      <c r="R386" s="20"/>
      <c r="S386" s="20"/>
      <c r="T386" s="20"/>
      <c r="U386" s="20"/>
      <c r="V386" s="20"/>
      <c r="W386" s="20"/>
      <c r="X386" s="20"/>
      <c r="Y386" s="20"/>
      <c r="Z386" s="20"/>
      <c r="AA386" s="20"/>
    </row>
    <row r="387" spans="1:27" ht="12.75" x14ac:dyDescent="0.2">
      <c r="A387" s="20"/>
      <c r="R387" s="20"/>
      <c r="S387" s="20"/>
      <c r="T387" s="20"/>
      <c r="U387" s="20"/>
      <c r="V387" s="20"/>
      <c r="W387" s="20"/>
      <c r="X387" s="20"/>
      <c r="Y387" s="20"/>
      <c r="Z387" s="20"/>
      <c r="AA387" s="20"/>
    </row>
    <row r="388" spans="1:27" ht="12.75" x14ac:dyDescent="0.2">
      <c r="A388" s="20"/>
      <c r="R388" s="20"/>
      <c r="S388" s="20"/>
      <c r="T388" s="20"/>
      <c r="U388" s="20"/>
      <c r="V388" s="20"/>
      <c r="W388" s="20"/>
      <c r="X388" s="20"/>
      <c r="Y388" s="20"/>
      <c r="Z388" s="20"/>
      <c r="AA388" s="20"/>
    </row>
    <row r="389" spans="1:27" ht="12.75" x14ac:dyDescent="0.2">
      <c r="A389" s="20"/>
      <c r="R389" s="20"/>
      <c r="S389" s="20"/>
      <c r="T389" s="20"/>
      <c r="U389" s="20"/>
      <c r="V389" s="20"/>
      <c r="W389" s="20"/>
      <c r="X389" s="20"/>
      <c r="Y389" s="20"/>
      <c r="Z389" s="20"/>
      <c r="AA389" s="20"/>
    </row>
    <row r="390" spans="1:27" ht="12.75" x14ac:dyDescent="0.2">
      <c r="A390" s="20"/>
      <c r="R390" s="20"/>
      <c r="S390" s="20"/>
      <c r="T390" s="20"/>
      <c r="U390" s="20"/>
      <c r="V390" s="20"/>
      <c r="W390" s="20"/>
      <c r="X390" s="20"/>
      <c r="Y390" s="20"/>
      <c r="Z390" s="20"/>
      <c r="AA390" s="20"/>
    </row>
    <row r="391" spans="1:27" ht="12.75" x14ac:dyDescent="0.2">
      <c r="A391" s="20"/>
      <c r="R391" s="20"/>
      <c r="S391" s="20"/>
      <c r="T391" s="20"/>
      <c r="U391" s="20"/>
      <c r="V391" s="20"/>
      <c r="W391" s="20"/>
      <c r="X391" s="20"/>
      <c r="Y391" s="20"/>
      <c r="Z391" s="20"/>
      <c r="AA391" s="20"/>
    </row>
    <row r="392" spans="1:27" ht="12.75" x14ac:dyDescent="0.2">
      <c r="A392" s="20"/>
      <c r="R392" s="20"/>
      <c r="S392" s="20"/>
      <c r="T392" s="20"/>
      <c r="U392" s="20"/>
      <c r="V392" s="20"/>
      <c r="W392" s="20"/>
      <c r="X392" s="20"/>
      <c r="Y392" s="20"/>
      <c r="Z392" s="20"/>
      <c r="AA392" s="20"/>
    </row>
    <row r="393" spans="1:27" ht="12.75" x14ac:dyDescent="0.2">
      <c r="A393" s="20"/>
      <c r="R393" s="20"/>
      <c r="S393" s="20"/>
      <c r="T393" s="20"/>
      <c r="U393" s="20"/>
      <c r="V393" s="20"/>
      <c r="W393" s="20"/>
      <c r="X393" s="20"/>
      <c r="Y393" s="20"/>
      <c r="Z393" s="20"/>
      <c r="AA393" s="20"/>
    </row>
    <row r="394" spans="1:27" ht="12.75" x14ac:dyDescent="0.2">
      <c r="A394" s="20"/>
      <c r="R394" s="20"/>
      <c r="S394" s="20"/>
      <c r="T394" s="20"/>
      <c r="U394" s="20"/>
      <c r="V394" s="20"/>
      <c r="W394" s="20"/>
      <c r="X394" s="20"/>
      <c r="Y394" s="20"/>
      <c r="Z394" s="20"/>
      <c r="AA394" s="20"/>
    </row>
    <row r="395" spans="1:27" ht="12.75" x14ac:dyDescent="0.2">
      <c r="A395" s="20"/>
      <c r="R395" s="20"/>
      <c r="S395" s="20"/>
      <c r="T395" s="20"/>
      <c r="U395" s="20"/>
      <c r="V395" s="20"/>
      <c r="W395" s="20"/>
      <c r="X395" s="20"/>
      <c r="Y395" s="20"/>
      <c r="Z395" s="20"/>
      <c r="AA395" s="20"/>
    </row>
    <row r="396" spans="1:27" ht="12.75" x14ac:dyDescent="0.2">
      <c r="A396" s="20"/>
      <c r="R396" s="20"/>
      <c r="S396" s="20"/>
      <c r="T396" s="20"/>
      <c r="U396" s="20"/>
      <c r="V396" s="20"/>
      <c r="W396" s="20"/>
      <c r="X396" s="20"/>
      <c r="Y396" s="20"/>
      <c r="Z396" s="20"/>
      <c r="AA396" s="20"/>
    </row>
    <row r="397" spans="1:27" ht="12.75" x14ac:dyDescent="0.2">
      <c r="A397" s="20"/>
      <c r="R397" s="20"/>
      <c r="S397" s="20"/>
      <c r="T397" s="20"/>
      <c r="U397" s="20"/>
      <c r="V397" s="20"/>
      <c r="W397" s="20"/>
      <c r="X397" s="20"/>
      <c r="Y397" s="20"/>
      <c r="Z397" s="20"/>
      <c r="AA397" s="20"/>
    </row>
    <row r="398" spans="1:27" ht="12.75" x14ac:dyDescent="0.2">
      <c r="A398" s="20"/>
      <c r="R398" s="20"/>
      <c r="S398" s="20"/>
      <c r="T398" s="20"/>
      <c r="U398" s="20"/>
      <c r="V398" s="20"/>
      <c r="W398" s="20"/>
      <c r="X398" s="20"/>
      <c r="Y398" s="20"/>
      <c r="Z398" s="20"/>
      <c r="AA398" s="20"/>
    </row>
    <row r="399" spans="1:27" ht="12.75" x14ac:dyDescent="0.2">
      <c r="A399" s="20"/>
      <c r="R399" s="20"/>
      <c r="S399" s="20"/>
      <c r="T399" s="20"/>
      <c r="U399" s="20"/>
      <c r="V399" s="20"/>
      <c r="W399" s="20"/>
      <c r="X399" s="20"/>
      <c r="Y399" s="20"/>
      <c r="Z399" s="20"/>
      <c r="AA399" s="20"/>
    </row>
    <row r="400" spans="1:27" ht="12.75" x14ac:dyDescent="0.2">
      <c r="A400" s="20"/>
      <c r="R400" s="20"/>
      <c r="S400" s="20"/>
      <c r="T400" s="20"/>
      <c r="U400" s="20"/>
      <c r="V400" s="20"/>
      <c r="W400" s="20"/>
      <c r="X400" s="20"/>
      <c r="Y400" s="20"/>
      <c r="Z400" s="20"/>
      <c r="AA400" s="20"/>
    </row>
    <row r="401" spans="1:27" ht="12.75" x14ac:dyDescent="0.2">
      <c r="A401" s="20"/>
      <c r="R401" s="20"/>
      <c r="S401" s="20"/>
      <c r="T401" s="20"/>
      <c r="U401" s="20"/>
      <c r="V401" s="20"/>
      <c r="W401" s="20"/>
      <c r="X401" s="20"/>
      <c r="Y401" s="20"/>
      <c r="Z401" s="20"/>
      <c r="AA401" s="20"/>
    </row>
    <row r="402" spans="1:27" ht="12.75" x14ac:dyDescent="0.2">
      <c r="A402" s="20"/>
      <c r="R402" s="20"/>
      <c r="S402" s="20"/>
      <c r="T402" s="20"/>
      <c r="U402" s="20"/>
      <c r="V402" s="20"/>
      <c r="W402" s="20"/>
      <c r="X402" s="20"/>
      <c r="Y402" s="20"/>
      <c r="Z402" s="20"/>
      <c r="AA402" s="20"/>
    </row>
    <row r="403" spans="1:27" ht="12.75" x14ac:dyDescent="0.2">
      <c r="A403" s="20"/>
      <c r="R403" s="20"/>
      <c r="S403" s="20"/>
      <c r="T403" s="20"/>
      <c r="U403" s="20"/>
      <c r="V403" s="20"/>
      <c r="W403" s="20"/>
      <c r="X403" s="20"/>
      <c r="Y403" s="20"/>
      <c r="Z403" s="20"/>
      <c r="AA403" s="20"/>
    </row>
    <row r="404" spans="1:27" ht="12.75" x14ac:dyDescent="0.2">
      <c r="A404" s="20"/>
      <c r="R404" s="20"/>
      <c r="S404" s="20"/>
      <c r="T404" s="20"/>
      <c r="U404" s="20"/>
      <c r="V404" s="20"/>
      <c r="W404" s="20"/>
      <c r="X404" s="20"/>
      <c r="Y404" s="20"/>
      <c r="Z404" s="20"/>
      <c r="AA404" s="20"/>
    </row>
    <row r="405" spans="1:27" ht="12.75" x14ac:dyDescent="0.2">
      <c r="A405" s="20"/>
      <c r="R405" s="20"/>
      <c r="S405" s="20"/>
      <c r="T405" s="20"/>
      <c r="U405" s="20"/>
      <c r="V405" s="20"/>
      <c r="W405" s="20"/>
      <c r="X405" s="20"/>
      <c r="Y405" s="20"/>
      <c r="Z405" s="20"/>
      <c r="AA405" s="20"/>
    </row>
    <row r="406" spans="1:27" ht="12.75" x14ac:dyDescent="0.2">
      <c r="A406" s="20"/>
      <c r="R406" s="20"/>
      <c r="S406" s="20"/>
      <c r="T406" s="20"/>
      <c r="U406" s="20"/>
      <c r="V406" s="20"/>
      <c r="W406" s="20"/>
      <c r="X406" s="20"/>
      <c r="Y406" s="20"/>
      <c r="Z406" s="20"/>
      <c r="AA406" s="20"/>
    </row>
    <row r="407" spans="1:27" ht="12.75" x14ac:dyDescent="0.2">
      <c r="A407" s="20"/>
      <c r="R407" s="20"/>
      <c r="S407" s="20"/>
      <c r="T407" s="20"/>
      <c r="U407" s="20"/>
      <c r="V407" s="20"/>
      <c r="W407" s="20"/>
      <c r="X407" s="20"/>
      <c r="Y407" s="20"/>
      <c r="Z407" s="20"/>
      <c r="AA407" s="20"/>
    </row>
    <row r="408" spans="1:27" ht="12.75" x14ac:dyDescent="0.2">
      <c r="A408" s="20"/>
      <c r="R408" s="20"/>
      <c r="S408" s="20"/>
      <c r="T408" s="20"/>
      <c r="U408" s="20"/>
      <c r="V408" s="20"/>
      <c r="W408" s="20"/>
      <c r="X408" s="20"/>
      <c r="Y408" s="20"/>
      <c r="Z408" s="20"/>
      <c r="AA408" s="20"/>
    </row>
    <row r="409" spans="1:27" ht="12.75" x14ac:dyDescent="0.2">
      <c r="A409" s="20"/>
      <c r="R409" s="20"/>
      <c r="S409" s="20"/>
      <c r="T409" s="20"/>
      <c r="U409" s="20"/>
      <c r="V409" s="20"/>
      <c r="W409" s="20"/>
      <c r="X409" s="20"/>
      <c r="Y409" s="20"/>
      <c r="Z409" s="20"/>
      <c r="AA409" s="20"/>
    </row>
    <row r="410" spans="1:27" ht="12.75" x14ac:dyDescent="0.2">
      <c r="A410" s="20"/>
      <c r="R410" s="20"/>
      <c r="S410" s="20"/>
      <c r="T410" s="20"/>
      <c r="U410" s="20"/>
      <c r="V410" s="20"/>
      <c r="W410" s="20"/>
      <c r="X410" s="20"/>
      <c r="Y410" s="20"/>
      <c r="Z410" s="20"/>
      <c r="AA410" s="20"/>
    </row>
    <row r="411" spans="1:27" ht="12.75" x14ac:dyDescent="0.2">
      <c r="A411" s="20"/>
      <c r="R411" s="20"/>
      <c r="S411" s="20"/>
      <c r="T411" s="20"/>
      <c r="U411" s="20"/>
      <c r="V411" s="20"/>
      <c r="W411" s="20"/>
      <c r="X411" s="20"/>
      <c r="Y411" s="20"/>
      <c r="Z411" s="20"/>
      <c r="AA411" s="20"/>
    </row>
    <row r="412" spans="1:27" ht="12.75" x14ac:dyDescent="0.2">
      <c r="A412" s="20"/>
      <c r="R412" s="20"/>
      <c r="S412" s="20"/>
      <c r="T412" s="20"/>
      <c r="U412" s="20"/>
      <c r="V412" s="20"/>
      <c r="W412" s="20"/>
      <c r="X412" s="20"/>
      <c r="Y412" s="20"/>
      <c r="Z412" s="20"/>
      <c r="AA412" s="20"/>
    </row>
    <row r="413" spans="1:27" ht="12.75" x14ac:dyDescent="0.2">
      <c r="A413" s="20"/>
      <c r="R413" s="20"/>
      <c r="S413" s="20"/>
      <c r="T413" s="20"/>
      <c r="U413" s="20"/>
      <c r="V413" s="20"/>
      <c r="W413" s="20"/>
      <c r="X413" s="20"/>
      <c r="Y413" s="20"/>
      <c r="Z413" s="20"/>
      <c r="AA413" s="20"/>
    </row>
    <row r="414" spans="1:27" ht="12.75" x14ac:dyDescent="0.2">
      <c r="A414" s="20"/>
      <c r="R414" s="20"/>
      <c r="S414" s="20"/>
      <c r="T414" s="20"/>
      <c r="U414" s="20"/>
      <c r="V414" s="20"/>
      <c r="W414" s="20"/>
      <c r="X414" s="20"/>
      <c r="Y414" s="20"/>
      <c r="Z414" s="20"/>
      <c r="AA414" s="20"/>
    </row>
    <row r="415" spans="1:27" ht="12.75" x14ac:dyDescent="0.2">
      <c r="A415" s="20"/>
      <c r="R415" s="20"/>
      <c r="S415" s="20"/>
      <c r="T415" s="20"/>
      <c r="U415" s="20"/>
      <c r="V415" s="20"/>
      <c r="W415" s="20"/>
      <c r="X415" s="20"/>
      <c r="Y415" s="20"/>
      <c r="Z415" s="20"/>
      <c r="AA415" s="20"/>
    </row>
    <row r="416" spans="1:27" ht="12.75" x14ac:dyDescent="0.2">
      <c r="A416" s="20"/>
      <c r="R416" s="20"/>
      <c r="S416" s="20"/>
      <c r="T416" s="20"/>
      <c r="U416" s="20"/>
      <c r="V416" s="20"/>
      <c r="W416" s="20"/>
      <c r="X416" s="20"/>
      <c r="Y416" s="20"/>
      <c r="Z416" s="20"/>
      <c r="AA416" s="20"/>
    </row>
    <row r="417" spans="1:27" ht="12.75" x14ac:dyDescent="0.2">
      <c r="A417" s="20"/>
      <c r="R417" s="20"/>
      <c r="S417" s="20"/>
      <c r="T417" s="20"/>
      <c r="U417" s="20"/>
      <c r="V417" s="20"/>
      <c r="W417" s="20"/>
      <c r="X417" s="20"/>
      <c r="Y417" s="20"/>
      <c r="Z417" s="20"/>
      <c r="AA417" s="20"/>
    </row>
    <row r="418" spans="1:27" ht="12.75" x14ac:dyDescent="0.2">
      <c r="A418" s="20"/>
      <c r="R418" s="20"/>
      <c r="S418" s="20"/>
      <c r="T418" s="20"/>
      <c r="U418" s="20"/>
      <c r="V418" s="20"/>
      <c r="W418" s="20"/>
      <c r="X418" s="20"/>
      <c r="Y418" s="20"/>
      <c r="Z418" s="20"/>
      <c r="AA418" s="20"/>
    </row>
    <row r="419" spans="1:27" ht="12.75" x14ac:dyDescent="0.2">
      <c r="A419" s="20"/>
      <c r="R419" s="20"/>
      <c r="S419" s="20"/>
      <c r="T419" s="20"/>
      <c r="U419" s="20"/>
      <c r="V419" s="20"/>
      <c r="W419" s="20"/>
      <c r="X419" s="20"/>
      <c r="Y419" s="20"/>
      <c r="Z419" s="20"/>
      <c r="AA419" s="20"/>
    </row>
    <row r="420" spans="1:27" ht="12.75" x14ac:dyDescent="0.2">
      <c r="A420" s="20"/>
      <c r="R420" s="20"/>
      <c r="S420" s="20"/>
      <c r="T420" s="20"/>
      <c r="U420" s="20"/>
      <c r="V420" s="20"/>
      <c r="W420" s="20"/>
      <c r="X420" s="20"/>
      <c r="Y420" s="20"/>
      <c r="Z420" s="20"/>
      <c r="AA420" s="20"/>
    </row>
    <row r="421" spans="1:27" ht="12.75" x14ac:dyDescent="0.2">
      <c r="A421" s="20"/>
      <c r="R421" s="20"/>
      <c r="S421" s="20"/>
      <c r="T421" s="20"/>
      <c r="U421" s="20"/>
      <c r="V421" s="20"/>
      <c r="W421" s="20"/>
      <c r="X421" s="20"/>
      <c r="Y421" s="20"/>
      <c r="Z421" s="20"/>
      <c r="AA421" s="20"/>
    </row>
    <row r="422" spans="1:27" ht="12.75" x14ac:dyDescent="0.2">
      <c r="A422" s="20"/>
      <c r="R422" s="20"/>
      <c r="S422" s="20"/>
      <c r="T422" s="20"/>
      <c r="U422" s="20"/>
      <c r="V422" s="20"/>
      <c r="W422" s="20"/>
      <c r="X422" s="20"/>
      <c r="Y422" s="20"/>
      <c r="Z422" s="20"/>
      <c r="AA422" s="20"/>
    </row>
    <row r="423" spans="1:27" ht="12.75" x14ac:dyDescent="0.2">
      <c r="A423" s="20"/>
      <c r="R423" s="20"/>
      <c r="S423" s="20"/>
      <c r="T423" s="20"/>
      <c r="U423" s="20"/>
      <c r="V423" s="20"/>
      <c r="W423" s="20"/>
      <c r="X423" s="20"/>
      <c r="Y423" s="20"/>
      <c r="Z423" s="20"/>
      <c r="AA423" s="20"/>
    </row>
    <row r="424" spans="1:27" ht="12.75" x14ac:dyDescent="0.2">
      <c r="A424" s="20"/>
      <c r="R424" s="20"/>
      <c r="S424" s="20"/>
      <c r="T424" s="20"/>
      <c r="U424" s="20"/>
      <c r="V424" s="20"/>
      <c r="W424" s="20"/>
      <c r="X424" s="20"/>
      <c r="Y424" s="20"/>
      <c r="Z424" s="20"/>
      <c r="AA424" s="20"/>
    </row>
    <row r="425" spans="1:27" ht="12.75" x14ac:dyDescent="0.2">
      <c r="A425" s="20"/>
      <c r="R425" s="20"/>
      <c r="S425" s="20"/>
      <c r="T425" s="20"/>
      <c r="U425" s="20"/>
      <c r="V425" s="20"/>
      <c r="W425" s="20"/>
      <c r="X425" s="20"/>
      <c r="Y425" s="20"/>
      <c r="Z425" s="20"/>
      <c r="AA425" s="20"/>
    </row>
    <row r="426" spans="1:27" ht="12.75" x14ac:dyDescent="0.2">
      <c r="A426" s="20"/>
      <c r="R426" s="20"/>
      <c r="S426" s="20"/>
      <c r="T426" s="20"/>
      <c r="U426" s="20"/>
      <c r="V426" s="20"/>
      <c r="W426" s="20"/>
      <c r="X426" s="20"/>
      <c r="Y426" s="20"/>
      <c r="Z426" s="20"/>
      <c r="AA426" s="20"/>
    </row>
    <row r="427" spans="1:27" ht="12.75" x14ac:dyDescent="0.2">
      <c r="A427" s="20"/>
      <c r="R427" s="20"/>
      <c r="S427" s="20"/>
      <c r="T427" s="20"/>
      <c r="U427" s="20"/>
      <c r="V427" s="20"/>
      <c r="W427" s="20"/>
      <c r="X427" s="20"/>
      <c r="Y427" s="20"/>
      <c r="Z427" s="20"/>
      <c r="AA427" s="20"/>
    </row>
    <row r="428" spans="1:27" ht="12.75" x14ac:dyDescent="0.2">
      <c r="A428" s="20"/>
      <c r="R428" s="20"/>
      <c r="S428" s="20"/>
      <c r="T428" s="20"/>
      <c r="U428" s="20"/>
      <c r="V428" s="20"/>
      <c r="W428" s="20"/>
      <c r="X428" s="20"/>
      <c r="Y428" s="20"/>
      <c r="Z428" s="20"/>
      <c r="AA428" s="20"/>
    </row>
    <row r="429" spans="1:27" ht="12.75" x14ac:dyDescent="0.2">
      <c r="A429" s="20"/>
      <c r="R429" s="20"/>
      <c r="S429" s="20"/>
      <c r="T429" s="20"/>
      <c r="U429" s="20"/>
      <c r="V429" s="20"/>
      <c r="W429" s="20"/>
      <c r="X429" s="20"/>
      <c r="Y429" s="20"/>
      <c r="Z429" s="20"/>
      <c r="AA429" s="20"/>
    </row>
    <row r="430" spans="1:27" ht="12.75" x14ac:dyDescent="0.2">
      <c r="A430" s="20"/>
      <c r="R430" s="20"/>
      <c r="S430" s="20"/>
      <c r="T430" s="20"/>
      <c r="U430" s="20"/>
      <c r="V430" s="20"/>
      <c r="W430" s="20"/>
      <c r="X430" s="20"/>
      <c r="Y430" s="20"/>
      <c r="Z430" s="20"/>
      <c r="AA430" s="20"/>
    </row>
    <row r="431" spans="1:27" ht="12.75" x14ac:dyDescent="0.2">
      <c r="A431" s="20"/>
      <c r="R431" s="20"/>
      <c r="S431" s="20"/>
      <c r="T431" s="20"/>
      <c r="U431" s="20"/>
      <c r="V431" s="20"/>
      <c r="W431" s="20"/>
      <c r="X431" s="20"/>
      <c r="Y431" s="20"/>
      <c r="Z431" s="20"/>
      <c r="AA431" s="20"/>
    </row>
    <row r="432" spans="1:27" ht="12.75" x14ac:dyDescent="0.2">
      <c r="A432" s="20"/>
      <c r="R432" s="20"/>
      <c r="S432" s="20"/>
      <c r="T432" s="20"/>
      <c r="U432" s="20"/>
      <c r="V432" s="20"/>
      <c r="W432" s="20"/>
      <c r="X432" s="20"/>
      <c r="Y432" s="20"/>
      <c r="Z432" s="20"/>
      <c r="AA432" s="20"/>
    </row>
    <row r="433" spans="1:27" ht="12.75" x14ac:dyDescent="0.2">
      <c r="A433" s="20"/>
      <c r="R433" s="20"/>
      <c r="S433" s="20"/>
      <c r="T433" s="20"/>
      <c r="U433" s="20"/>
      <c r="V433" s="20"/>
      <c r="W433" s="20"/>
      <c r="X433" s="20"/>
      <c r="Y433" s="20"/>
      <c r="Z433" s="20"/>
      <c r="AA433" s="20"/>
    </row>
    <row r="434" spans="1:27" ht="12.75" x14ac:dyDescent="0.2">
      <c r="A434" s="20"/>
      <c r="R434" s="20"/>
      <c r="S434" s="20"/>
      <c r="T434" s="20"/>
      <c r="U434" s="20"/>
      <c r="V434" s="20"/>
      <c r="W434" s="20"/>
      <c r="X434" s="20"/>
      <c r="Y434" s="20"/>
      <c r="Z434" s="20"/>
      <c r="AA434" s="20"/>
    </row>
    <row r="435" spans="1:27" ht="12.75" x14ac:dyDescent="0.2">
      <c r="A435" s="20"/>
      <c r="R435" s="20"/>
      <c r="S435" s="20"/>
      <c r="T435" s="20"/>
      <c r="U435" s="20"/>
      <c r="V435" s="20"/>
      <c r="W435" s="20"/>
      <c r="X435" s="20"/>
      <c r="Y435" s="20"/>
      <c r="Z435" s="20"/>
      <c r="AA435" s="20"/>
    </row>
    <row r="436" spans="1:27" ht="12.75" x14ac:dyDescent="0.2">
      <c r="A436" s="20"/>
      <c r="R436" s="20"/>
      <c r="S436" s="20"/>
      <c r="T436" s="20"/>
      <c r="U436" s="20"/>
      <c r="V436" s="20"/>
      <c r="W436" s="20"/>
      <c r="X436" s="20"/>
      <c r="Y436" s="20"/>
      <c r="Z436" s="20"/>
      <c r="AA436" s="20"/>
    </row>
    <row r="437" spans="1:27" ht="12.75" x14ac:dyDescent="0.2">
      <c r="A437" s="20"/>
      <c r="R437" s="20"/>
      <c r="S437" s="20"/>
      <c r="T437" s="20"/>
      <c r="U437" s="20"/>
      <c r="V437" s="20"/>
      <c r="W437" s="20"/>
      <c r="X437" s="20"/>
      <c r="Y437" s="20"/>
      <c r="Z437" s="20"/>
      <c r="AA437" s="20"/>
    </row>
    <row r="438" spans="1:27" ht="12.75" x14ac:dyDescent="0.2">
      <c r="A438" s="20"/>
      <c r="R438" s="20"/>
      <c r="S438" s="20"/>
      <c r="T438" s="20"/>
      <c r="U438" s="20"/>
      <c r="V438" s="20"/>
      <c r="W438" s="20"/>
      <c r="X438" s="20"/>
      <c r="Y438" s="20"/>
      <c r="Z438" s="20"/>
      <c r="AA438" s="20"/>
    </row>
    <row r="439" spans="1:27" ht="12.75" x14ac:dyDescent="0.2">
      <c r="A439" s="20"/>
      <c r="R439" s="20"/>
      <c r="S439" s="20"/>
      <c r="T439" s="20"/>
      <c r="U439" s="20"/>
      <c r="V439" s="20"/>
      <c r="W439" s="20"/>
      <c r="X439" s="20"/>
      <c r="Y439" s="20"/>
      <c r="Z439" s="20"/>
      <c r="AA439" s="20"/>
    </row>
    <row r="440" spans="1:27" ht="12.75" x14ac:dyDescent="0.2">
      <c r="A440" s="20"/>
      <c r="R440" s="20"/>
      <c r="S440" s="20"/>
      <c r="T440" s="20"/>
      <c r="U440" s="20"/>
      <c r="V440" s="20"/>
      <c r="W440" s="20"/>
      <c r="X440" s="20"/>
      <c r="Y440" s="20"/>
      <c r="Z440" s="20"/>
      <c r="AA440" s="20"/>
    </row>
    <row r="441" spans="1:27" ht="12.75" x14ac:dyDescent="0.2">
      <c r="A441" s="20"/>
      <c r="R441" s="20"/>
      <c r="S441" s="20"/>
      <c r="T441" s="20"/>
      <c r="U441" s="20"/>
      <c r="V441" s="20"/>
      <c r="W441" s="20"/>
      <c r="X441" s="20"/>
      <c r="Y441" s="20"/>
      <c r="Z441" s="20"/>
      <c r="AA441" s="20"/>
    </row>
    <row r="442" spans="1:27" ht="12.75" x14ac:dyDescent="0.2">
      <c r="A442" s="20"/>
      <c r="R442" s="20"/>
      <c r="S442" s="20"/>
      <c r="T442" s="20"/>
      <c r="U442" s="20"/>
      <c r="V442" s="20"/>
      <c r="W442" s="20"/>
      <c r="X442" s="20"/>
      <c r="Y442" s="20"/>
      <c r="Z442" s="20"/>
      <c r="AA442" s="20"/>
    </row>
    <row r="443" spans="1:27" ht="12.75" x14ac:dyDescent="0.2">
      <c r="A443" s="20"/>
      <c r="R443" s="20"/>
      <c r="S443" s="20"/>
      <c r="T443" s="20"/>
      <c r="U443" s="20"/>
      <c r="V443" s="20"/>
      <c r="W443" s="20"/>
      <c r="X443" s="20"/>
      <c r="Y443" s="20"/>
      <c r="Z443" s="20"/>
      <c r="AA443" s="20"/>
    </row>
    <row r="444" spans="1:27" ht="12.75" x14ac:dyDescent="0.2">
      <c r="A444" s="20"/>
      <c r="R444" s="20"/>
      <c r="S444" s="20"/>
      <c r="T444" s="20"/>
      <c r="U444" s="20"/>
      <c r="V444" s="20"/>
      <c r="W444" s="20"/>
      <c r="X444" s="20"/>
      <c r="Y444" s="20"/>
      <c r="Z444" s="20"/>
      <c r="AA444" s="20"/>
    </row>
    <row r="445" spans="1:27" ht="12.75" x14ac:dyDescent="0.2">
      <c r="A445" s="20"/>
      <c r="R445" s="20"/>
      <c r="S445" s="20"/>
      <c r="T445" s="20"/>
      <c r="U445" s="20"/>
      <c r="V445" s="20"/>
      <c r="W445" s="20"/>
      <c r="X445" s="20"/>
      <c r="Y445" s="20"/>
      <c r="Z445" s="20"/>
      <c r="AA445" s="20"/>
    </row>
    <row r="446" spans="1:27" ht="12.75" x14ac:dyDescent="0.2">
      <c r="A446" s="20"/>
      <c r="R446" s="20"/>
      <c r="S446" s="20"/>
      <c r="T446" s="20"/>
      <c r="U446" s="20"/>
      <c r="V446" s="20"/>
      <c r="W446" s="20"/>
      <c r="X446" s="20"/>
      <c r="Y446" s="20"/>
      <c r="Z446" s="20"/>
      <c r="AA446" s="20"/>
    </row>
    <row r="447" spans="1:27" ht="12.75" x14ac:dyDescent="0.2">
      <c r="A447" s="20"/>
      <c r="R447" s="20"/>
      <c r="S447" s="20"/>
      <c r="T447" s="20"/>
      <c r="U447" s="20"/>
      <c r="V447" s="20"/>
      <c r="W447" s="20"/>
      <c r="X447" s="20"/>
      <c r="Y447" s="20"/>
      <c r="Z447" s="20"/>
      <c r="AA447" s="20"/>
    </row>
    <row r="448" spans="1:27" ht="12.75" x14ac:dyDescent="0.2">
      <c r="A448" s="20"/>
      <c r="R448" s="20"/>
      <c r="S448" s="20"/>
      <c r="T448" s="20"/>
      <c r="U448" s="20"/>
      <c r="V448" s="20"/>
      <c r="W448" s="20"/>
      <c r="X448" s="20"/>
      <c r="Y448" s="20"/>
      <c r="Z448" s="20"/>
      <c r="AA448" s="20"/>
    </row>
    <row r="449" spans="1:27" ht="12.75" x14ac:dyDescent="0.2">
      <c r="A449" s="20"/>
      <c r="R449" s="20"/>
      <c r="S449" s="20"/>
      <c r="T449" s="20"/>
      <c r="U449" s="20"/>
      <c r="V449" s="20"/>
      <c r="W449" s="20"/>
      <c r="X449" s="20"/>
      <c r="Y449" s="20"/>
      <c r="Z449" s="20"/>
      <c r="AA449" s="20"/>
    </row>
    <row r="450" spans="1:27" ht="12.75" x14ac:dyDescent="0.2">
      <c r="A450" s="20"/>
      <c r="R450" s="20"/>
      <c r="S450" s="20"/>
      <c r="T450" s="20"/>
      <c r="U450" s="20"/>
      <c r="V450" s="20"/>
      <c r="W450" s="20"/>
      <c r="X450" s="20"/>
      <c r="Y450" s="20"/>
      <c r="Z450" s="20"/>
      <c r="AA450" s="20"/>
    </row>
    <row r="451" spans="1:27" ht="12.75" x14ac:dyDescent="0.2">
      <c r="A451" s="20"/>
      <c r="R451" s="20"/>
      <c r="S451" s="20"/>
      <c r="T451" s="20"/>
      <c r="U451" s="20"/>
      <c r="V451" s="20"/>
      <c r="W451" s="20"/>
      <c r="X451" s="20"/>
      <c r="Y451" s="20"/>
      <c r="Z451" s="20"/>
      <c r="AA451" s="20"/>
    </row>
    <row r="452" spans="1:27" ht="12.75" x14ac:dyDescent="0.2">
      <c r="A452" s="20"/>
      <c r="R452" s="20"/>
      <c r="S452" s="20"/>
      <c r="T452" s="20"/>
      <c r="U452" s="20"/>
      <c r="V452" s="20"/>
      <c r="W452" s="20"/>
      <c r="X452" s="20"/>
      <c r="Y452" s="20"/>
      <c r="Z452" s="20"/>
      <c r="AA452" s="20"/>
    </row>
    <row r="453" spans="1:27" ht="12.75" x14ac:dyDescent="0.2">
      <c r="A453" s="20"/>
      <c r="R453" s="20"/>
      <c r="S453" s="20"/>
      <c r="T453" s="20"/>
      <c r="U453" s="20"/>
      <c r="V453" s="20"/>
      <c r="W453" s="20"/>
      <c r="X453" s="20"/>
      <c r="Y453" s="20"/>
      <c r="Z453" s="20"/>
      <c r="AA453" s="20"/>
    </row>
    <row r="454" spans="1:27" ht="12.75" x14ac:dyDescent="0.2">
      <c r="A454" s="20"/>
      <c r="R454" s="20"/>
      <c r="S454" s="20"/>
      <c r="T454" s="20"/>
      <c r="U454" s="20"/>
      <c r="V454" s="20"/>
      <c r="W454" s="20"/>
      <c r="X454" s="20"/>
      <c r="Y454" s="20"/>
      <c r="Z454" s="20"/>
      <c r="AA454" s="20"/>
    </row>
    <row r="455" spans="1:27" ht="12.75" x14ac:dyDescent="0.2">
      <c r="A455" s="20"/>
      <c r="R455" s="20"/>
      <c r="S455" s="20"/>
      <c r="T455" s="20"/>
      <c r="U455" s="20"/>
      <c r="V455" s="20"/>
      <c r="W455" s="20"/>
      <c r="X455" s="20"/>
      <c r="Y455" s="20"/>
      <c r="Z455" s="20"/>
      <c r="AA455" s="20"/>
    </row>
    <row r="456" spans="1:27" ht="12.75" x14ac:dyDescent="0.2">
      <c r="A456" s="20"/>
      <c r="R456" s="20"/>
      <c r="S456" s="20"/>
      <c r="T456" s="20"/>
      <c r="U456" s="20"/>
      <c r="V456" s="20"/>
      <c r="W456" s="20"/>
      <c r="X456" s="20"/>
      <c r="Y456" s="20"/>
      <c r="Z456" s="20"/>
      <c r="AA456" s="20"/>
    </row>
    <row r="457" spans="1:27" ht="12.75" x14ac:dyDescent="0.2">
      <c r="A457" s="20"/>
      <c r="R457" s="20"/>
      <c r="S457" s="20"/>
      <c r="T457" s="20"/>
      <c r="U457" s="20"/>
      <c r="V457" s="20"/>
      <c r="W457" s="20"/>
      <c r="X457" s="20"/>
      <c r="Y457" s="20"/>
      <c r="Z457" s="20"/>
      <c r="AA457" s="20"/>
    </row>
    <row r="458" spans="1:27" ht="12.75" x14ac:dyDescent="0.2">
      <c r="A458" s="20"/>
      <c r="R458" s="20"/>
      <c r="S458" s="20"/>
      <c r="T458" s="20"/>
      <c r="U458" s="20"/>
      <c r="V458" s="20"/>
      <c r="W458" s="20"/>
      <c r="X458" s="20"/>
      <c r="Y458" s="20"/>
      <c r="Z458" s="20"/>
      <c r="AA458" s="20"/>
    </row>
    <row r="459" spans="1:27" ht="12.75" x14ac:dyDescent="0.2">
      <c r="A459" s="20"/>
      <c r="R459" s="20"/>
      <c r="S459" s="20"/>
      <c r="T459" s="20"/>
      <c r="U459" s="20"/>
      <c r="V459" s="20"/>
      <c r="W459" s="20"/>
      <c r="X459" s="20"/>
      <c r="Y459" s="20"/>
      <c r="Z459" s="20"/>
      <c r="AA459" s="20"/>
    </row>
    <row r="460" spans="1:27" ht="12.75" x14ac:dyDescent="0.2">
      <c r="A460" s="20"/>
      <c r="R460" s="20"/>
      <c r="S460" s="20"/>
      <c r="T460" s="20"/>
      <c r="U460" s="20"/>
      <c r="V460" s="20"/>
      <c r="W460" s="20"/>
      <c r="X460" s="20"/>
      <c r="Y460" s="20"/>
      <c r="Z460" s="20"/>
      <c r="AA460" s="20"/>
    </row>
    <row r="461" spans="1:27" ht="12.75" x14ac:dyDescent="0.2">
      <c r="A461" s="20"/>
      <c r="R461" s="20"/>
      <c r="S461" s="20"/>
      <c r="T461" s="20"/>
      <c r="U461" s="20"/>
      <c r="V461" s="20"/>
      <c r="W461" s="20"/>
      <c r="X461" s="20"/>
      <c r="Y461" s="20"/>
      <c r="Z461" s="20"/>
      <c r="AA461" s="20"/>
    </row>
    <row r="462" spans="1:27" ht="12.75" x14ac:dyDescent="0.2">
      <c r="A462" s="20"/>
      <c r="R462" s="20"/>
      <c r="S462" s="20"/>
      <c r="T462" s="20"/>
      <c r="U462" s="20"/>
      <c r="V462" s="20"/>
      <c r="W462" s="20"/>
      <c r="X462" s="20"/>
      <c r="Y462" s="20"/>
      <c r="Z462" s="20"/>
      <c r="AA462" s="20"/>
    </row>
    <row r="463" spans="1:27" ht="12.75" x14ac:dyDescent="0.2">
      <c r="A463" s="20"/>
      <c r="R463" s="20"/>
      <c r="S463" s="20"/>
      <c r="T463" s="20"/>
      <c r="U463" s="20"/>
      <c r="V463" s="20"/>
      <c r="W463" s="20"/>
      <c r="X463" s="20"/>
      <c r="Y463" s="20"/>
      <c r="Z463" s="20"/>
      <c r="AA463" s="20"/>
    </row>
    <row r="464" spans="1:27" ht="12.75" x14ac:dyDescent="0.2">
      <c r="A464" s="20"/>
      <c r="R464" s="20"/>
      <c r="S464" s="20"/>
      <c r="T464" s="20"/>
      <c r="U464" s="20"/>
      <c r="V464" s="20"/>
      <c r="W464" s="20"/>
      <c r="X464" s="20"/>
      <c r="Y464" s="20"/>
      <c r="Z464" s="20"/>
      <c r="AA464" s="20"/>
    </row>
    <row r="465" spans="1:27" ht="12.75" x14ac:dyDescent="0.2">
      <c r="A465" s="20"/>
      <c r="R465" s="20"/>
      <c r="S465" s="20"/>
      <c r="T465" s="20"/>
      <c r="U465" s="20"/>
      <c r="V465" s="20"/>
      <c r="W465" s="20"/>
      <c r="X465" s="20"/>
      <c r="Y465" s="20"/>
      <c r="Z465" s="20"/>
      <c r="AA465" s="20"/>
    </row>
    <row r="466" spans="1:27" ht="12.75" x14ac:dyDescent="0.2">
      <c r="A466" s="20"/>
      <c r="R466" s="20"/>
      <c r="S466" s="20"/>
      <c r="T466" s="20"/>
      <c r="U466" s="20"/>
      <c r="V466" s="20"/>
      <c r="W466" s="20"/>
      <c r="X466" s="20"/>
      <c r="Y466" s="20"/>
      <c r="Z466" s="20"/>
      <c r="AA466" s="20"/>
    </row>
    <row r="467" spans="1:27" ht="12.75" x14ac:dyDescent="0.2">
      <c r="A467" s="20"/>
      <c r="R467" s="20"/>
      <c r="S467" s="20"/>
      <c r="T467" s="20"/>
      <c r="U467" s="20"/>
      <c r="V467" s="20"/>
      <c r="W467" s="20"/>
      <c r="X467" s="20"/>
      <c r="Y467" s="20"/>
      <c r="Z467" s="20"/>
      <c r="AA467" s="20"/>
    </row>
    <row r="468" spans="1:27" ht="12.75" x14ac:dyDescent="0.2">
      <c r="A468" s="20"/>
      <c r="R468" s="20"/>
      <c r="S468" s="20"/>
      <c r="T468" s="20"/>
      <c r="U468" s="20"/>
      <c r="V468" s="20"/>
      <c r="W468" s="20"/>
      <c r="X468" s="20"/>
      <c r="Y468" s="20"/>
      <c r="Z468" s="20"/>
      <c r="AA468" s="20"/>
    </row>
    <row r="469" spans="1:27" ht="12.75" x14ac:dyDescent="0.2">
      <c r="A469" s="20"/>
      <c r="R469" s="20"/>
      <c r="S469" s="20"/>
      <c r="T469" s="20"/>
      <c r="U469" s="20"/>
      <c r="V469" s="20"/>
      <c r="W469" s="20"/>
      <c r="X469" s="20"/>
      <c r="Y469" s="20"/>
      <c r="Z469" s="20"/>
      <c r="AA469" s="20"/>
    </row>
    <row r="470" spans="1:27" ht="12.75" x14ac:dyDescent="0.2">
      <c r="A470" s="20"/>
      <c r="R470" s="20"/>
      <c r="S470" s="20"/>
      <c r="T470" s="20"/>
      <c r="U470" s="20"/>
      <c r="V470" s="20"/>
      <c r="W470" s="20"/>
      <c r="X470" s="20"/>
      <c r="Y470" s="20"/>
      <c r="Z470" s="20"/>
      <c r="AA470" s="20"/>
    </row>
    <row r="471" spans="1:27" ht="12.75" x14ac:dyDescent="0.2">
      <c r="A471" s="20"/>
      <c r="R471" s="20"/>
      <c r="S471" s="20"/>
      <c r="T471" s="20"/>
      <c r="U471" s="20"/>
      <c r="V471" s="20"/>
      <c r="W471" s="20"/>
      <c r="X471" s="20"/>
      <c r="Y471" s="20"/>
      <c r="Z471" s="20"/>
      <c r="AA471" s="20"/>
    </row>
    <row r="472" spans="1:27" ht="12.75" x14ac:dyDescent="0.2">
      <c r="A472" s="20"/>
      <c r="R472" s="20"/>
      <c r="S472" s="20"/>
      <c r="T472" s="20"/>
      <c r="U472" s="20"/>
      <c r="V472" s="20"/>
      <c r="W472" s="20"/>
      <c r="X472" s="20"/>
      <c r="Y472" s="20"/>
      <c r="Z472" s="20"/>
      <c r="AA472" s="20"/>
    </row>
    <row r="473" spans="1:27" ht="12.75" x14ac:dyDescent="0.2">
      <c r="A473" s="20"/>
      <c r="R473" s="20"/>
      <c r="S473" s="20"/>
      <c r="T473" s="20"/>
      <c r="U473" s="20"/>
      <c r="V473" s="20"/>
      <c r="W473" s="20"/>
      <c r="X473" s="20"/>
      <c r="Y473" s="20"/>
      <c r="Z473" s="20"/>
      <c r="AA473" s="20"/>
    </row>
    <row r="474" spans="1:27" ht="12.75" x14ac:dyDescent="0.2">
      <c r="A474" s="20"/>
      <c r="R474" s="20"/>
      <c r="S474" s="20"/>
      <c r="T474" s="20"/>
      <c r="U474" s="20"/>
      <c r="V474" s="20"/>
      <c r="W474" s="20"/>
      <c r="X474" s="20"/>
      <c r="Y474" s="20"/>
      <c r="Z474" s="20"/>
      <c r="AA474" s="20"/>
    </row>
    <row r="475" spans="1:27" ht="12.75" x14ac:dyDescent="0.2">
      <c r="A475" s="20"/>
      <c r="R475" s="20"/>
      <c r="S475" s="20"/>
      <c r="T475" s="20"/>
      <c r="U475" s="20"/>
      <c r="V475" s="20"/>
      <c r="W475" s="20"/>
      <c r="X475" s="20"/>
      <c r="Y475" s="20"/>
      <c r="Z475" s="20"/>
      <c r="AA475" s="20"/>
    </row>
    <row r="476" spans="1:27" ht="12.75" x14ac:dyDescent="0.2">
      <c r="A476" s="20"/>
      <c r="R476" s="20"/>
      <c r="S476" s="20"/>
      <c r="T476" s="20"/>
      <c r="U476" s="20"/>
      <c r="V476" s="20"/>
      <c r="W476" s="20"/>
      <c r="X476" s="20"/>
      <c r="Y476" s="20"/>
      <c r="Z476" s="20"/>
      <c r="AA476" s="20"/>
    </row>
    <row r="477" spans="1:27" ht="12.75" x14ac:dyDescent="0.2">
      <c r="A477" s="20"/>
      <c r="R477" s="20"/>
      <c r="S477" s="20"/>
      <c r="T477" s="20"/>
      <c r="U477" s="20"/>
      <c r="V477" s="20"/>
      <c r="W477" s="20"/>
      <c r="X477" s="20"/>
      <c r="Y477" s="20"/>
      <c r="Z477" s="20"/>
      <c r="AA477" s="20"/>
    </row>
    <row r="478" spans="1:27" ht="12.75" x14ac:dyDescent="0.2">
      <c r="A478" s="20"/>
      <c r="R478" s="20"/>
      <c r="S478" s="20"/>
      <c r="T478" s="20"/>
      <c r="U478" s="20"/>
      <c r="V478" s="20"/>
      <c r="W478" s="20"/>
      <c r="X478" s="20"/>
      <c r="Y478" s="20"/>
      <c r="Z478" s="20"/>
      <c r="AA478" s="20"/>
    </row>
    <row r="479" spans="1:27" ht="12.75" x14ac:dyDescent="0.2">
      <c r="A479" s="20"/>
      <c r="R479" s="20"/>
      <c r="S479" s="20"/>
      <c r="T479" s="20"/>
      <c r="U479" s="20"/>
      <c r="V479" s="20"/>
      <c r="W479" s="20"/>
      <c r="X479" s="20"/>
      <c r="Y479" s="20"/>
      <c r="Z479" s="20"/>
      <c r="AA479" s="20"/>
    </row>
    <row r="480" spans="1:27" ht="12.75" x14ac:dyDescent="0.2">
      <c r="A480" s="20"/>
      <c r="R480" s="20"/>
      <c r="S480" s="20"/>
      <c r="T480" s="20"/>
      <c r="U480" s="20"/>
      <c r="V480" s="20"/>
      <c r="W480" s="20"/>
      <c r="X480" s="20"/>
      <c r="Y480" s="20"/>
      <c r="Z480" s="20"/>
      <c r="AA480" s="20"/>
    </row>
    <row r="481" spans="1:27" ht="12.75" x14ac:dyDescent="0.2">
      <c r="A481" s="20"/>
      <c r="R481" s="20"/>
      <c r="S481" s="20"/>
      <c r="T481" s="20"/>
      <c r="U481" s="20"/>
      <c r="V481" s="20"/>
      <c r="W481" s="20"/>
      <c r="X481" s="20"/>
      <c r="Y481" s="20"/>
      <c r="Z481" s="20"/>
      <c r="AA481" s="20"/>
    </row>
    <row r="482" spans="1:27" ht="12.75" x14ac:dyDescent="0.2">
      <c r="A482" s="20"/>
      <c r="R482" s="20"/>
      <c r="S482" s="20"/>
      <c r="T482" s="20"/>
      <c r="U482" s="20"/>
      <c r="V482" s="20"/>
      <c r="W482" s="20"/>
      <c r="X482" s="20"/>
      <c r="Y482" s="20"/>
      <c r="Z482" s="20"/>
      <c r="AA482" s="20"/>
    </row>
    <row r="483" spans="1:27" ht="12.75" x14ac:dyDescent="0.2">
      <c r="A483" s="20"/>
      <c r="R483" s="20"/>
      <c r="S483" s="20"/>
      <c r="T483" s="20"/>
      <c r="U483" s="20"/>
      <c r="V483" s="20"/>
      <c r="W483" s="20"/>
      <c r="X483" s="20"/>
      <c r="Y483" s="20"/>
      <c r="Z483" s="20"/>
      <c r="AA483" s="20"/>
    </row>
    <row r="484" spans="1:27" ht="12.75" x14ac:dyDescent="0.2">
      <c r="A484" s="20"/>
      <c r="R484" s="20"/>
      <c r="S484" s="20"/>
      <c r="T484" s="20"/>
      <c r="U484" s="20"/>
      <c r="V484" s="20"/>
      <c r="W484" s="20"/>
      <c r="X484" s="20"/>
      <c r="Y484" s="20"/>
      <c r="Z484" s="20"/>
      <c r="AA484" s="20"/>
    </row>
    <row r="485" spans="1:27" ht="12.75" x14ac:dyDescent="0.2">
      <c r="A485" s="20"/>
      <c r="R485" s="20"/>
      <c r="S485" s="20"/>
      <c r="T485" s="20"/>
      <c r="U485" s="20"/>
      <c r="V485" s="20"/>
      <c r="W485" s="20"/>
      <c r="X485" s="20"/>
      <c r="Y485" s="20"/>
      <c r="Z485" s="20"/>
      <c r="AA485" s="20"/>
    </row>
    <row r="486" spans="1:27" ht="12.75" x14ac:dyDescent="0.2">
      <c r="A486" s="20"/>
      <c r="R486" s="20"/>
      <c r="S486" s="20"/>
      <c r="T486" s="20"/>
      <c r="U486" s="20"/>
      <c r="V486" s="20"/>
      <c r="W486" s="20"/>
      <c r="X486" s="20"/>
      <c r="Y486" s="20"/>
      <c r="Z486" s="20"/>
      <c r="AA486" s="20"/>
    </row>
    <row r="487" spans="1:27" ht="12.75" x14ac:dyDescent="0.2">
      <c r="A487" s="20"/>
      <c r="R487" s="20"/>
      <c r="S487" s="20"/>
      <c r="T487" s="20"/>
      <c r="U487" s="20"/>
      <c r="V487" s="20"/>
      <c r="W487" s="20"/>
      <c r="X487" s="20"/>
      <c r="Y487" s="20"/>
      <c r="Z487" s="20"/>
      <c r="AA487" s="20"/>
    </row>
    <row r="488" spans="1:27" ht="12.75" x14ac:dyDescent="0.2">
      <c r="A488" s="20"/>
      <c r="R488" s="20"/>
      <c r="S488" s="20"/>
      <c r="T488" s="20"/>
      <c r="U488" s="20"/>
      <c r="V488" s="20"/>
      <c r="W488" s="20"/>
      <c r="X488" s="20"/>
      <c r="Y488" s="20"/>
      <c r="Z488" s="20"/>
      <c r="AA488" s="20"/>
    </row>
    <row r="489" spans="1:27" ht="12.75" x14ac:dyDescent="0.2">
      <c r="A489" s="20"/>
      <c r="R489" s="20"/>
      <c r="S489" s="20"/>
      <c r="T489" s="20"/>
      <c r="U489" s="20"/>
      <c r="V489" s="20"/>
      <c r="W489" s="20"/>
      <c r="X489" s="20"/>
      <c r="Y489" s="20"/>
      <c r="Z489" s="20"/>
      <c r="AA489" s="20"/>
    </row>
    <row r="490" spans="1:27" ht="12.75" x14ac:dyDescent="0.2">
      <c r="A490" s="20"/>
      <c r="R490" s="20"/>
      <c r="S490" s="20"/>
      <c r="T490" s="20"/>
      <c r="U490" s="20"/>
      <c r="V490" s="20"/>
      <c r="W490" s="20"/>
      <c r="X490" s="20"/>
      <c r="Y490" s="20"/>
      <c r="Z490" s="20"/>
      <c r="AA490" s="20"/>
    </row>
    <row r="491" spans="1:27" ht="12.75" x14ac:dyDescent="0.2">
      <c r="A491" s="20"/>
      <c r="R491" s="20"/>
      <c r="S491" s="20"/>
      <c r="T491" s="20"/>
      <c r="U491" s="20"/>
      <c r="V491" s="20"/>
      <c r="W491" s="20"/>
      <c r="X491" s="20"/>
      <c r="Y491" s="20"/>
      <c r="Z491" s="20"/>
      <c r="AA491" s="20"/>
    </row>
    <row r="492" spans="1:27" ht="12.75" x14ac:dyDescent="0.2">
      <c r="A492" s="20"/>
      <c r="R492" s="20"/>
      <c r="S492" s="20"/>
      <c r="T492" s="20"/>
      <c r="U492" s="20"/>
      <c r="V492" s="20"/>
      <c r="W492" s="20"/>
      <c r="X492" s="20"/>
      <c r="Y492" s="20"/>
      <c r="Z492" s="20"/>
      <c r="AA492" s="20"/>
    </row>
    <row r="493" spans="1:27" ht="12.75" x14ac:dyDescent="0.2">
      <c r="A493" s="20"/>
      <c r="R493" s="20"/>
      <c r="S493" s="20"/>
      <c r="T493" s="20"/>
      <c r="U493" s="20"/>
      <c r="V493" s="20"/>
      <c r="W493" s="20"/>
      <c r="X493" s="20"/>
      <c r="Y493" s="20"/>
      <c r="Z493" s="20"/>
      <c r="AA493" s="20"/>
    </row>
    <row r="494" spans="1:27" ht="12.75" x14ac:dyDescent="0.2">
      <c r="A494" s="20"/>
      <c r="R494" s="20"/>
      <c r="S494" s="20"/>
      <c r="T494" s="20"/>
      <c r="U494" s="20"/>
      <c r="V494" s="20"/>
      <c r="W494" s="20"/>
      <c r="X494" s="20"/>
      <c r="Y494" s="20"/>
      <c r="Z494" s="20"/>
      <c r="AA494" s="20"/>
    </row>
    <row r="495" spans="1:27" ht="12.75" x14ac:dyDescent="0.2">
      <c r="A495" s="20"/>
      <c r="R495" s="20"/>
      <c r="S495" s="20"/>
      <c r="T495" s="20"/>
      <c r="U495" s="20"/>
      <c r="V495" s="20"/>
      <c r="W495" s="20"/>
      <c r="X495" s="20"/>
      <c r="Y495" s="20"/>
      <c r="Z495" s="20"/>
      <c r="AA495" s="20"/>
    </row>
    <row r="496" spans="1:27" ht="12.75" x14ac:dyDescent="0.2">
      <c r="A496" s="20"/>
      <c r="R496" s="20"/>
      <c r="S496" s="20"/>
      <c r="T496" s="20"/>
      <c r="U496" s="20"/>
      <c r="V496" s="20"/>
      <c r="W496" s="20"/>
      <c r="X496" s="20"/>
      <c r="Y496" s="20"/>
      <c r="Z496" s="20"/>
      <c r="AA496" s="20"/>
    </row>
    <row r="497" spans="1:27" ht="12.75" x14ac:dyDescent="0.2">
      <c r="A497" s="20"/>
      <c r="R497" s="20"/>
      <c r="S497" s="20"/>
      <c r="T497" s="20"/>
      <c r="U497" s="20"/>
      <c r="V497" s="20"/>
      <c r="W497" s="20"/>
      <c r="X497" s="20"/>
      <c r="Y497" s="20"/>
      <c r="Z497" s="20"/>
      <c r="AA497" s="20"/>
    </row>
    <row r="498" spans="1:27" ht="12.75" x14ac:dyDescent="0.2">
      <c r="A498" s="20"/>
      <c r="R498" s="20"/>
      <c r="S498" s="20"/>
      <c r="T498" s="20"/>
      <c r="U498" s="20"/>
      <c r="V498" s="20"/>
      <c r="W498" s="20"/>
      <c r="X498" s="20"/>
      <c r="Y498" s="20"/>
      <c r="Z498" s="20"/>
      <c r="AA498" s="20"/>
    </row>
    <row r="499" spans="1:27" ht="12.75" x14ac:dyDescent="0.2">
      <c r="A499" s="20"/>
      <c r="R499" s="20"/>
      <c r="S499" s="20"/>
      <c r="T499" s="20"/>
      <c r="U499" s="20"/>
      <c r="V499" s="20"/>
      <c r="W499" s="20"/>
      <c r="X499" s="20"/>
      <c r="Y499" s="20"/>
      <c r="Z499" s="20"/>
      <c r="AA499" s="20"/>
    </row>
    <row r="500" spans="1:27" ht="12.75" x14ac:dyDescent="0.2">
      <c r="A500" s="20"/>
      <c r="R500" s="20"/>
      <c r="S500" s="20"/>
      <c r="T500" s="20"/>
      <c r="U500" s="20"/>
      <c r="V500" s="20"/>
      <c r="W500" s="20"/>
      <c r="X500" s="20"/>
      <c r="Y500" s="20"/>
      <c r="Z500" s="20"/>
      <c r="AA500" s="20"/>
    </row>
    <row r="501" spans="1:27" ht="12.75" x14ac:dyDescent="0.2">
      <c r="A501" s="20"/>
      <c r="R501" s="20"/>
      <c r="S501" s="20"/>
      <c r="T501" s="20"/>
      <c r="U501" s="20"/>
      <c r="V501" s="20"/>
      <c r="W501" s="20"/>
      <c r="X501" s="20"/>
      <c r="Y501" s="20"/>
      <c r="Z501" s="20"/>
      <c r="AA501" s="20"/>
    </row>
    <row r="502" spans="1:27" ht="12.75" x14ac:dyDescent="0.2">
      <c r="A502" s="20"/>
      <c r="R502" s="20"/>
      <c r="S502" s="20"/>
      <c r="T502" s="20"/>
      <c r="U502" s="20"/>
      <c r="V502" s="20"/>
      <c r="W502" s="20"/>
      <c r="X502" s="20"/>
      <c r="Y502" s="20"/>
      <c r="Z502" s="20"/>
      <c r="AA502" s="20"/>
    </row>
    <row r="503" spans="1:27" ht="12.75" x14ac:dyDescent="0.2">
      <c r="A503" s="20"/>
      <c r="R503" s="20"/>
      <c r="S503" s="20"/>
      <c r="T503" s="20"/>
      <c r="U503" s="20"/>
      <c r="V503" s="20"/>
      <c r="W503" s="20"/>
      <c r="X503" s="20"/>
      <c r="Y503" s="20"/>
      <c r="Z503" s="20"/>
      <c r="AA503" s="20"/>
    </row>
    <row r="504" spans="1:27" ht="12.75" x14ac:dyDescent="0.2">
      <c r="A504" s="20"/>
      <c r="R504" s="20"/>
      <c r="S504" s="20"/>
      <c r="T504" s="20"/>
      <c r="U504" s="20"/>
      <c r="V504" s="20"/>
      <c r="W504" s="20"/>
      <c r="X504" s="20"/>
      <c r="Y504" s="20"/>
      <c r="Z504" s="20"/>
      <c r="AA504" s="20"/>
    </row>
    <row r="505" spans="1:27" ht="12.75" x14ac:dyDescent="0.2">
      <c r="A505" s="20"/>
      <c r="R505" s="20"/>
      <c r="S505" s="20"/>
      <c r="T505" s="20"/>
      <c r="U505" s="20"/>
      <c r="V505" s="20"/>
      <c r="W505" s="20"/>
      <c r="X505" s="20"/>
      <c r="Y505" s="20"/>
      <c r="Z505" s="20"/>
      <c r="AA505" s="20"/>
    </row>
    <row r="506" spans="1:27" ht="12.75" x14ac:dyDescent="0.2">
      <c r="A506" s="20"/>
      <c r="R506" s="20"/>
      <c r="S506" s="20"/>
      <c r="T506" s="20"/>
      <c r="U506" s="20"/>
      <c r="V506" s="20"/>
      <c r="W506" s="20"/>
      <c r="X506" s="20"/>
      <c r="Y506" s="20"/>
      <c r="Z506" s="20"/>
      <c r="AA506" s="20"/>
    </row>
    <row r="507" spans="1:27" ht="12.75" x14ac:dyDescent="0.2">
      <c r="A507" s="20"/>
      <c r="R507" s="20"/>
      <c r="S507" s="20"/>
      <c r="T507" s="20"/>
      <c r="U507" s="20"/>
      <c r="V507" s="20"/>
      <c r="W507" s="20"/>
      <c r="X507" s="20"/>
      <c r="Y507" s="20"/>
      <c r="Z507" s="20"/>
      <c r="AA507" s="20"/>
    </row>
    <row r="508" spans="1:27" ht="12.75" x14ac:dyDescent="0.2">
      <c r="A508" s="20"/>
      <c r="R508" s="20"/>
      <c r="S508" s="20"/>
      <c r="T508" s="20"/>
      <c r="U508" s="20"/>
      <c r="V508" s="20"/>
      <c r="W508" s="20"/>
      <c r="X508" s="20"/>
      <c r="Y508" s="20"/>
      <c r="Z508" s="20"/>
      <c r="AA508" s="20"/>
    </row>
    <row r="509" spans="1:27" ht="12.75" x14ac:dyDescent="0.2">
      <c r="A509" s="20"/>
      <c r="R509" s="20"/>
      <c r="S509" s="20"/>
      <c r="T509" s="20"/>
      <c r="U509" s="20"/>
      <c r="V509" s="20"/>
      <c r="W509" s="20"/>
      <c r="X509" s="20"/>
      <c r="Y509" s="20"/>
      <c r="Z509" s="20"/>
      <c r="AA509" s="20"/>
    </row>
    <row r="510" spans="1:27" ht="12.75" x14ac:dyDescent="0.2">
      <c r="A510" s="20"/>
      <c r="R510" s="20"/>
      <c r="S510" s="20"/>
      <c r="T510" s="20"/>
      <c r="U510" s="20"/>
      <c r="V510" s="20"/>
      <c r="W510" s="20"/>
      <c r="X510" s="20"/>
      <c r="Y510" s="20"/>
      <c r="Z510" s="20"/>
      <c r="AA510" s="20"/>
    </row>
    <row r="511" spans="1:27" ht="12.75" x14ac:dyDescent="0.2">
      <c r="A511" s="20"/>
      <c r="R511" s="20"/>
      <c r="S511" s="20"/>
      <c r="T511" s="20"/>
      <c r="U511" s="20"/>
      <c r="V511" s="20"/>
      <c r="W511" s="20"/>
      <c r="X511" s="20"/>
      <c r="Y511" s="20"/>
      <c r="Z511" s="20"/>
      <c r="AA511" s="20"/>
    </row>
    <row r="512" spans="1:27" ht="12.75" x14ac:dyDescent="0.2">
      <c r="A512" s="20"/>
      <c r="R512" s="20"/>
      <c r="S512" s="20"/>
      <c r="T512" s="20"/>
      <c r="U512" s="20"/>
      <c r="V512" s="20"/>
      <c r="W512" s="20"/>
      <c r="X512" s="20"/>
      <c r="Y512" s="20"/>
      <c r="Z512" s="20"/>
      <c r="AA512" s="20"/>
    </row>
    <row r="513" spans="1:27" ht="12.75" x14ac:dyDescent="0.2">
      <c r="A513" s="20"/>
      <c r="R513" s="20"/>
      <c r="S513" s="20"/>
      <c r="T513" s="20"/>
      <c r="U513" s="20"/>
      <c r="V513" s="20"/>
      <c r="W513" s="20"/>
      <c r="X513" s="20"/>
      <c r="Y513" s="20"/>
      <c r="Z513" s="20"/>
      <c r="AA513" s="20"/>
    </row>
    <row r="514" spans="1:27" ht="12.75" x14ac:dyDescent="0.2">
      <c r="A514" s="20"/>
      <c r="R514" s="20"/>
      <c r="S514" s="20"/>
      <c r="T514" s="20"/>
      <c r="U514" s="20"/>
      <c r="V514" s="20"/>
      <c r="W514" s="20"/>
      <c r="X514" s="20"/>
      <c r="Y514" s="20"/>
      <c r="Z514" s="20"/>
      <c r="AA514" s="20"/>
    </row>
    <row r="515" spans="1:27" ht="12.75" x14ac:dyDescent="0.2">
      <c r="A515" s="20"/>
      <c r="R515" s="20"/>
      <c r="S515" s="20"/>
      <c r="T515" s="20"/>
      <c r="U515" s="20"/>
      <c r="V515" s="20"/>
      <c r="W515" s="20"/>
      <c r="X515" s="20"/>
      <c r="Y515" s="20"/>
      <c r="Z515" s="20"/>
      <c r="AA515" s="20"/>
    </row>
    <row r="516" spans="1:27" ht="12.75" x14ac:dyDescent="0.2">
      <c r="A516" s="20"/>
      <c r="R516" s="20"/>
      <c r="S516" s="20"/>
      <c r="T516" s="20"/>
      <c r="U516" s="20"/>
      <c r="V516" s="20"/>
      <c r="W516" s="20"/>
      <c r="X516" s="20"/>
      <c r="Y516" s="20"/>
      <c r="Z516" s="20"/>
      <c r="AA516" s="20"/>
    </row>
    <row r="517" spans="1:27" ht="12.75" x14ac:dyDescent="0.2">
      <c r="A517" s="20"/>
      <c r="R517" s="20"/>
      <c r="S517" s="20"/>
      <c r="T517" s="20"/>
      <c r="U517" s="20"/>
      <c r="V517" s="20"/>
      <c r="W517" s="20"/>
      <c r="X517" s="20"/>
      <c r="Y517" s="20"/>
      <c r="Z517" s="20"/>
      <c r="AA517" s="20"/>
    </row>
    <row r="518" spans="1:27" ht="12.75" x14ac:dyDescent="0.2">
      <c r="A518" s="20"/>
      <c r="R518" s="20"/>
      <c r="S518" s="20"/>
      <c r="T518" s="20"/>
      <c r="U518" s="20"/>
      <c r="V518" s="20"/>
      <c r="W518" s="20"/>
      <c r="X518" s="20"/>
      <c r="Y518" s="20"/>
      <c r="Z518" s="20"/>
      <c r="AA518" s="20"/>
    </row>
    <row r="519" spans="1:27" ht="12.75" x14ac:dyDescent="0.2">
      <c r="A519" s="20"/>
      <c r="R519" s="20"/>
      <c r="S519" s="20"/>
      <c r="T519" s="20"/>
      <c r="U519" s="20"/>
      <c r="V519" s="20"/>
      <c r="W519" s="20"/>
      <c r="X519" s="20"/>
      <c r="Y519" s="20"/>
      <c r="Z519" s="20"/>
      <c r="AA519" s="20"/>
    </row>
    <row r="520" spans="1:27" ht="12.75" x14ac:dyDescent="0.2">
      <c r="A520" s="20"/>
      <c r="R520" s="20"/>
      <c r="S520" s="20"/>
      <c r="T520" s="20"/>
      <c r="U520" s="20"/>
      <c r="V520" s="20"/>
      <c r="W520" s="20"/>
      <c r="X520" s="20"/>
      <c r="Y520" s="20"/>
      <c r="Z520" s="20"/>
      <c r="AA520" s="20"/>
    </row>
    <row r="521" spans="1:27" ht="12.75" x14ac:dyDescent="0.2">
      <c r="A521" s="20"/>
      <c r="R521" s="20"/>
      <c r="S521" s="20"/>
      <c r="T521" s="20"/>
      <c r="U521" s="20"/>
      <c r="V521" s="20"/>
      <c r="W521" s="20"/>
      <c r="X521" s="20"/>
      <c r="Y521" s="20"/>
      <c r="Z521" s="20"/>
      <c r="AA521" s="20"/>
    </row>
    <row r="522" spans="1:27" ht="12.75" x14ac:dyDescent="0.2">
      <c r="A522" s="20"/>
      <c r="R522" s="20"/>
      <c r="S522" s="20"/>
      <c r="T522" s="20"/>
      <c r="U522" s="20"/>
      <c r="V522" s="20"/>
      <c r="W522" s="20"/>
      <c r="X522" s="20"/>
      <c r="Y522" s="20"/>
      <c r="Z522" s="20"/>
      <c r="AA522" s="20"/>
    </row>
    <row r="523" spans="1:27" ht="12.75" x14ac:dyDescent="0.2">
      <c r="A523" s="20"/>
      <c r="R523" s="20"/>
      <c r="S523" s="20"/>
      <c r="T523" s="20"/>
      <c r="U523" s="20"/>
      <c r="V523" s="20"/>
      <c r="W523" s="20"/>
      <c r="X523" s="20"/>
      <c r="Y523" s="20"/>
      <c r="Z523" s="20"/>
      <c r="AA523" s="20"/>
    </row>
    <row r="524" spans="1:27" ht="12.75" x14ac:dyDescent="0.2">
      <c r="A524" s="20"/>
      <c r="R524" s="20"/>
      <c r="S524" s="20"/>
      <c r="T524" s="20"/>
      <c r="U524" s="20"/>
      <c r="V524" s="20"/>
      <c r="W524" s="20"/>
      <c r="X524" s="20"/>
      <c r="Y524" s="20"/>
      <c r="Z524" s="20"/>
      <c r="AA524" s="20"/>
    </row>
    <row r="525" spans="1:27" ht="12.75" x14ac:dyDescent="0.2">
      <c r="A525" s="20"/>
      <c r="R525" s="20"/>
      <c r="S525" s="20"/>
      <c r="T525" s="20"/>
      <c r="U525" s="20"/>
      <c r="V525" s="20"/>
      <c r="W525" s="20"/>
      <c r="X525" s="20"/>
      <c r="Y525" s="20"/>
      <c r="Z525" s="20"/>
      <c r="AA525" s="20"/>
    </row>
    <row r="526" spans="1:27" ht="12.75" x14ac:dyDescent="0.2">
      <c r="A526" s="20"/>
      <c r="R526" s="20"/>
      <c r="S526" s="20"/>
      <c r="T526" s="20"/>
      <c r="U526" s="20"/>
      <c r="V526" s="20"/>
      <c r="W526" s="20"/>
      <c r="X526" s="20"/>
      <c r="Y526" s="20"/>
      <c r="Z526" s="20"/>
      <c r="AA526" s="20"/>
    </row>
    <row r="527" spans="1:27" ht="12.75" x14ac:dyDescent="0.2">
      <c r="A527" s="20"/>
      <c r="R527" s="20"/>
      <c r="S527" s="20"/>
      <c r="T527" s="20"/>
      <c r="U527" s="20"/>
      <c r="V527" s="20"/>
      <c r="W527" s="20"/>
      <c r="X527" s="20"/>
      <c r="Y527" s="20"/>
      <c r="Z527" s="20"/>
      <c r="AA527" s="20"/>
    </row>
    <row r="528" spans="1:27" ht="12.75" x14ac:dyDescent="0.2">
      <c r="A528" s="20"/>
      <c r="R528" s="20"/>
      <c r="S528" s="20"/>
      <c r="T528" s="20"/>
      <c r="U528" s="20"/>
      <c r="V528" s="20"/>
      <c r="W528" s="20"/>
      <c r="X528" s="20"/>
      <c r="Y528" s="20"/>
      <c r="Z528" s="20"/>
      <c r="AA528" s="20"/>
    </row>
    <row r="529" spans="1:27" ht="12.75" x14ac:dyDescent="0.2">
      <c r="A529" s="20"/>
      <c r="R529" s="20"/>
      <c r="S529" s="20"/>
      <c r="T529" s="20"/>
      <c r="U529" s="20"/>
      <c r="V529" s="20"/>
      <c r="W529" s="20"/>
      <c r="X529" s="20"/>
      <c r="Y529" s="20"/>
      <c r="Z529" s="20"/>
      <c r="AA529" s="20"/>
    </row>
    <row r="530" spans="1:27" ht="12.75" x14ac:dyDescent="0.2">
      <c r="A530" s="20"/>
      <c r="R530" s="20"/>
      <c r="S530" s="20"/>
      <c r="T530" s="20"/>
      <c r="U530" s="20"/>
      <c r="V530" s="20"/>
      <c r="W530" s="20"/>
      <c r="X530" s="20"/>
      <c r="Y530" s="20"/>
      <c r="Z530" s="20"/>
      <c r="AA530" s="20"/>
    </row>
    <row r="531" spans="1:27" ht="12.75" x14ac:dyDescent="0.2">
      <c r="A531" s="20"/>
      <c r="R531" s="20"/>
      <c r="S531" s="20"/>
      <c r="T531" s="20"/>
      <c r="U531" s="20"/>
      <c r="V531" s="20"/>
      <c r="W531" s="20"/>
      <c r="X531" s="20"/>
      <c r="Y531" s="20"/>
      <c r="Z531" s="20"/>
      <c r="AA531" s="20"/>
    </row>
    <row r="532" spans="1:27" ht="12.75" x14ac:dyDescent="0.2">
      <c r="A532" s="20"/>
      <c r="R532" s="20"/>
      <c r="S532" s="20"/>
      <c r="T532" s="20"/>
      <c r="U532" s="20"/>
      <c r="V532" s="20"/>
      <c r="W532" s="20"/>
      <c r="X532" s="20"/>
      <c r="Y532" s="20"/>
      <c r="Z532" s="20"/>
      <c r="AA532" s="20"/>
    </row>
    <row r="533" spans="1:27" ht="12.75" x14ac:dyDescent="0.2">
      <c r="A533" s="20"/>
      <c r="R533" s="20"/>
      <c r="S533" s="20"/>
      <c r="T533" s="20"/>
      <c r="U533" s="20"/>
      <c r="V533" s="20"/>
      <c r="W533" s="20"/>
      <c r="X533" s="20"/>
      <c r="Y533" s="20"/>
      <c r="Z533" s="20"/>
      <c r="AA533" s="20"/>
    </row>
    <row r="534" spans="1:27" ht="12.75" x14ac:dyDescent="0.2">
      <c r="A534" s="20"/>
      <c r="R534" s="20"/>
      <c r="S534" s="20"/>
      <c r="T534" s="20"/>
      <c r="U534" s="20"/>
      <c r="V534" s="20"/>
      <c r="W534" s="20"/>
      <c r="X534" s="20"/>
      <c r="Y534" s="20"/>
      <c r="Z534" s="20"/>
      <c r="AA534" s="20"/>
    </row>
    <row r="535" spans="1:27" ht="12.75" x14ac:dyDescent="0.2">
      <c r="A535" s="20"/>
      <c r="R535" s="20"/>
      <c r="S535" s="20"/>
      <c r="T535" s="20"/>
      <c r="U535" s="20"/>
      <c r="V535" s="20"/>
      <c r="W535" s="20"/>
      <c r="X535" s="20"/>
      <c r="Y535" s="20"/>
      <c r="Z535" s="20"/>
      <c r="AA535" s="20"/>
    </row>
    <row r="536" spans="1:27" ht="12.75" x14ac:dyDescent="0.2">
      <c r="A536" s="20"/>
      <c r="R536" s="20"/>
      <c r="S536" s="20"/>
      <c r="T536" s="20"/>
      <c r="U536" s="20"/>
      <c r="V536" s="20"/>
      <c r="W536" s="20"/>
      <c r="X536" s="20"/>
      <c r="Y536" s="20"/>
      <c r="Z536" s="20"/>
      <c r="AA536" s="20"/>
    </row>
    <row r="537" spans="1:27" ht="12.75" x14ac:dyDescent="0.2">
      <c r="A537" s="20"/>
      <c r="R537" s="20"/>
      <c r="S537" s="20"/>
      <c r="T537" s="20"/>
      <c r="U537" s="20"/>
      <c r="V537" s="20"/>
      <c r="W537" s="20"/>
      <c r="X537" s="20"/>
      <c r="Y537" s="20"/>
      <c r="Z537" s="20"/>
      <c r="AA537" s="20"/>
    </row>
    <row r="538" spans="1:27" ht="12.75" x14ac:dyDescent="0.2">
      <c r="A538" s="20"/>
      <c r="R538" s="20"/>
      <c r="S538" s="20"/>
      <c r="T538" s="20"/>
      <c r="U538" s="20"/>
      <c r="V538" s="20"/>
      <c r="W538" s="20"/>
      <c r="X538" s="20"/>
      <c r="Y538" s="20"/>
      <c r="Z538" s="20"/>
      <c r="AA538" s="20"/>
    </row>
    <row r="539" spans="1:27" ht="12.75" x14ac:dyDescent="0.2">
      <c r="A539" s="20"/>
      <c r="R539" s="20"/>
      <c r="S539" s="20"/>
      <c r="T539" s="20"/>
      <c r="U539" s="20"/>
      <c r="V539" s="20"/>
      <c r="W539" s="20"/>
      <c r="X539" s="20"/>
      <c r="Y539" s="20"/>
      <c r="Z539" s="20"/>
      <c r="AA539" s="20"/>
    </row>
    <row r="540" spans="1:27" ht="12.75" x14ac:dyDescent="0.2">
      <c r="A540" s="20"/>
      <c r="R540" s="20"/>
      <c r="S540" s="20"/>
      <c r="T540" s="20"/>
      <c r="U540" s="20"/>
      <c r="V540" s="20"/>
      <c r="W540" s="20"/>
      <c r="X540" s="20"/>
      <c r="Y540" s="20"/>
      <c r="Z540" s="20"/>
      <c r="AA540" s="20"/>
    </row>
    <row r="541" spans="1:27" ht="12.75" x14ac:dyDescent="0.2">
      <c r="A541" s="20"/>
      <c r="R541" s="20"/>
      <c r="S541" s="20"/>
      <c r="T541" s="20"/>
      <c r="U541" s="20"/>
      <c r="V541" s="20"/>
      <c r="W541" s="20"/>
      <c r="X541" s="20"/>
      <c r="Y541" s="20"/>
      <c r="Z541" s="20"/>
      <c r="AA541" s="20"/>
    </row>
    <row r="542" spans="1:27" ht="12.75" x14ac:dyDescent="0.2">
      <c r="A542" s="20"/>
      <c r="R542" s="20"/>
      <c r="S542" s="20"/>
      <c r="T542" s="20"/>
      <c r="U542" s="20"/>
      <c r="V542" s="20"/>
      <c r="W542" s="20"/>
      <c r="X542" s="20"/>
      <c r="Y542" s="20"/>
      <c r="Z542" s="20"/>
      <c r="AA542" s="20"/>
    </row>
    <row r="543" spans="1:27" ht="12.75" x14ac:dyDescent="0.2">
      <c r="A543" s="20"/>
      <c r="R543" s="20"/>
      <c r="S543" s="20"/>
      <c r="T543" s="20"/>
      <c r="U543" s="20"/>
      <c r="V543" s="20"/>
      <c r="W543" s="20"/>
      <c r="X543" s="20"/>
      <c r="Y543" s="20"/>
      <c r="Z543" s="20"/>
      <c r="AA543" s="20"/>
    </row>
    <row r="544" spans="1:27" ht="12.75" x14ac:dyDescent="0.2">
      <c r="A544" s="20"/>
      <c r="R544" s="20"/>
      <c r="S544" s="20"/>
      <c r="T544" s="20"/>
      <c r="U544" s="20"/>
      <c r="V544" s="20"/>
      <c r="W544" s="20"/>
      <c r="X544" s="20"/>
      <c r="Y544" s="20"/>
      <c r="Z544" s="20"/>
      <c r="AA544" s="20"/>
    </row>
    <row r="545" spans="1:27" ht="12.75" x14ac:dyDescent="0.2">
      <c r="A545" s="20"/>
      <c r="R545" s="20"/>
      <c r="S545" s="20"/>
      <c r="T545" s="20"/>
      <c r="U545" s="20"/>
      <c r="V545" s="20"/>
      <c r="W545" s="20"/>
      <c r="X545" s="20"/>
      <c r="Y545" s="20"/>
      <c r="Z545" s="20"/>
      <c r="AA545" s="20"/>
    </row>
    <row r="546" spans="1:27" ht="12.75" x14ac:dyDescent="0.2">
      <c r="A546" s="20"/>
      <c r="R546" s="20"/>
      <c r="S546" s="20"/>
      <c r="T546" s="20"/>
      <c r="U546" s="20"/>
      <c r="V546" s="20"/>
      <c r="W546" s="20"/>
      <c r="X546" s="20"/>
      <c r="Y546" s="20"/>
      <c r="Z546" s="20"/>
      <c r="AA546" s="20"/>
    </row>
    <row r="547" spans="1:27" ht="12.75" x14ac:dyDescent="0.2">
      <c r="A547" s="20"/>
      <c r="R547" s="20"/>
      <c r="S547" s="20"/>
      <c r="T547" s="20"/>
      <c r="U547" s="20"/>
      <c r="V547" s="20"/>
      <c r="W547" s="20"/>
      <c r="X547" s="20"/>
      <c r="Y547" s="20"/>
      <c r="Z547" s="20"/>
      <c r="AA547" s="20"/>
    </row>
    <row r="548" spans="1:27" ht="12.75" x14ac:dyDescent="0.2">
      <c r="A548" s="20"/>
      <c r="R548" s="20"/>
      <c r="S548" s="20"/>
      <c r="T548" s="20"/>
      <c r="U548" s="20"/>
      <c r="V548" s="20"/>
      <c r="W548" s="20"/>
      <c r="X548" s="20"/>
      <c r="Y548" s="20"/>
      <c r="Z548" s="20"/>
      <c r="AA548" s="20"/>
    </row>
    <row r="549" spans="1:27" ht="12.75" x14ac:dyDescent="0.2">
      <c r="A549" s="20"/>
      <c r="R549" s="20"/>
      <c r="S549" s="20"/>
      <c r="T549" s="20"/>
      <c r="U549" s="20"/>
      <c r="V549" s="20"/>
      <c r="W549" s="20"/>
      <c r="X549" s="20"/>
      <c r="Y549" s="20"/>
      <c r="Z549" s="20"/>
      <c r="AA549" s="20"/>
    </row>
    <row r="550" spans="1:27" ht="12.75" x14ac:dyDescent="0.2">
      <c r="A550" s="20"/>
      <c r="R550" s="20"/>
      <c r="S550" s="20"/>
      <c r="T550" s="20"/>
      <c r="U550" s="20"/>
      <c r="V550" s="20"/>
      <c r="W550" s="20"/>
      <c r="X550" s="20"/>
      <c r="Y550" s="20"/>
      <c r="Z550" s="20"/>
      <c r="AA550" s="20"/>
    </row>
    <row r="551" spans="1:27" ht="12.75" x14ac:dyDescent="0.2">
      <c r="A551" s="20"/>
      <c r="R551" s="20"/>
      <c r="S551" s="20"/>
      <c r="T551" s="20"/>
      <c r="U551" s="20"/>
      <c r="V551" s="20"/>
      <c r="W551" s="20"/>
      <c r="X551" s="20"/>
      <c r="Y551" s="20"/>
      <c r="Z551" s="20"/>
      <c r="AA551" s="20"/>
    </row>
    <row r="552" spans="1:27" ht="12.75" x14ac:dyDescent="0.2">
      <c r="A552" s="20"/>
      <c r="R552" s="20"/>
      <c r="S552" s="20"/>
      <c r="T552" s="20"/>
      <c r="U552" s="20"/>
      <c r="V552" s="20"/>
      <c r="W552" s="20"/>
      <c r="X552" s="20"/>
      <c r="Y552" s="20"/>
      <c r="Z552" s="20"/>
      <c r="AA552" s="20"/>
    </row>
    <row r="553" spans="1:27" ht="12.75" x14ac:dyDescent="0.2">
      <c r="A553" s="20"/>
      <c r="R553" s="20"/>
      <c r="S553" s="20"/>
      <c r="T553" s="20"/>
      <c r="U553" s="20"/>
      <c r="V553" s="20"/>
      <c r="W553" s="20"/>
      <c r="X553" s="20"/>
      <c r="Y553" s="20"/>
      <c r="Z553" s="20"/>
      <c r="AA553" s="20"/>
    </row>
    <row r="554" spans="1:27" ht="12.75" x14ac:dyDescent="0.2">
      <c r="A554" s="20"/>
      <c r="R554" s="20"/>
      <c r="S554" s="20"/>
      <c r="T554" s="20"/>
      <c r="U554" s="20"/>
      <c r="V554" s="20"/>
      <c r="W554" s="20"/>
      <c r="X554" s="20"/>
      <c r="Y554" s="20"/>
      <c r="Z554" s="20"/>
      <c r="AA554" s="20"/>
    </row>
    <row r="555" spans="1:27" ht="12.75" x14ac:dyDescent="0.2">
      <c r="A555" s="20"/>
      <c r="R555" s="20"/>
      <c r="S555" s="20"/>
      <c r="T555" s="20"/>
      <c r="U555" s="20"/>
      <c r="V555" s="20"/>
      <c r="W555" s="20"/>
      <c r="X555" s="20"/>
      <c r="Y555" s="20"/>
      <c r="Z555" s="20"/>
      <c r="AA555" s="20"/>
    </row>
    <row r="556" spans="1:27" ht="12.75" x14ac:dyDescent="0.2">
      <c r="A556" s="20"/>
      <c r="R556" s="20"/>
      <c r="S556" s="20"/>
      <c r="T556" s="20"/>
      <c r="U556" s="20"/>
      <c r="V556" s="20"/>
      <c r="W556" s="20"/>
      <c r="X556" s="20"/>
      <c r="Y556" s="20"/>
      <c r="Z556" s="20"/>
      <c r="AA556" s="20"/>
    </row>
    <row r="557" spans="1:27" ht="12.75" x14ac:dyDescent="0.2">
      <c r="A557" s="20"/>
      <c r="R557" s="20"/>
      <c r="S557" s="20"/>
      <c r="T557" s="20"/>
      <c r="U557" s="20"/>
      <c r="V557" s="20"/>
      <c r="W557" s="20"/>
      <c r="X557" s="20"/>
      <c r="Y557" s="20"/>
      <c r="Z557" s="20"/>
      <c r="AA557" s="20"/>
    </row>
    <row r="558" spans="1:27" ht="12.75" x14ac:dyDescent="0.2">
      <c r="A558" s="20"/>
      <c r="R558" s="20"/>
      <c r="S558" s="20"/>
      <c r="T558" s="20"/>
      <c r="U558" s="20"/>
      <c r="V558" s="20"/>
      <c r="W558" s="20"/>
      <c r="X558" s="20"/>
      <c r="Y558" s="20"/>
      <c r="Z558" s="20"/>
      <c r="AA558" s="20"/>
    </row>
    <row r="559" spans="1:27" ht="12.75" x14ac:dyDescent="0.2">
      <c r="A559" s="20"/>
      <c r="R559" s="20"/>
      <c r="S559" s="20"/>
      <c r="T559" s="20"/>
      <c r="U559" s="20"/>
      <c r="V559" s="20"/>
      <c r="W559" s="20"/>
      <c r="X559" s="20"/>
      <c r="Y559" s="20"/>
      <c r="Z559" s="20"/>
      <c r="AA559" s="20"/>
    </row>
    <row r="560" spans="1:27" ht="12.75" x14ac:dyDescent="0.2">
      <c r="A560" s="20"/>
      <c r="R560" s="20"/>
      <c r="S560" s="20"/>
      <c r="T560" s="20"/>
      <c r="U560" s="20"/>
      <c r="V560" s="20"/>
      <c r="W560" s="20"/>
      <c r="X560" s="20"/>
      <c r="Y560" s="20"/>
      <c r="Z560" s="20"/>
      <c r="AA560" s="20"/>
    </row>
    <row r="561" spans="1:27" ht="12.75" x14ac:dyDescent="0.2">
      <c r="A561" s="20"/>
      <c r="R561" s="20"/>
      <c r="S561" s="20"/>
      <c r="T561" s="20"/>
      <c r="U561" s="20"/>
      <c r="V561" s="20"/>
      <c r="W561" s="20"/>
      <c r="X561" s="20"/>
      <c r="Y561" s="20"/>
      <c r="Z561" s="20"/>
      <c r="AA561" s="20"/>
    </row>
    <row r="562" spans="1:27" ht="12.75" x14ac:dyDescent="0.2">
      <c r="A562" s="20"/>
      <c r="R562" s="20"/>
      <c r="S562" s="20"/>
      <c r="T562" s="20"/>
      <c r="U562" s="20"/>
      <c r="V562" s="20"/>
      <c r="W562" s="20"/>
      <c r="X562" s="20"/>
      <c r="Y562" s="20"/>
      <c r="Z562" s="20"/>
      <c r="AA562" s="20"/>
    </row>
    <row r="563" spans="1:27" ht="12.75" x14ac:dyDescent="0.2">
      <c r="A563" s="20"/>
      <c r="R563" s="20"/>
      <c r="S563" s="20"/>
      <c r="T563" s="20"/>
      <c r="U563" s="20"/>
      <c r="V563" s="20"/>
      <c r="W563" s="20"/>
      <c r="X563" s="20"/>
      <c r="Y563" s="20"/>
      <c r="Z563" s="20"/>
      <c r="AA563" s="20"/>
    </row>
    <row r="564" spans="1:27" ht="12.75" x14ac:dyDescent="0.2">
      <c r="A564" s="20"/>
      <c r="R564" s="20"/>
      <c r="S564" s="20"/>
      <c r="T564" s="20"/>
      <c r="U564" s="20"/>
      <c r="V564" s="20"/>
      <c r="W564" s="20"/>
      <c r="X564" s="20"/>
      <c r="Y564" s="20"/>
      <c r="Z564" s="20"/>
      <c r="AA564" s="20"/>
    </row>
    <row r="565" spans="1:27" ht="12.75" x14ac:dyDescent="0.2">
      <c r="A565" s="20"/>
      <c r="R565" s="20"/>
      <c r="S565" s="20"/>
      <c r="T565" s="20"/>
      <c r="U565" s="20"/>
      <c r="V565" s="20"/>
      <c r="W565" s="20"/>
      <c r="X565" s="20"/>
      <c r="Y565" s="20"/>
      <c r="Z565" s="20"/>
      <c r="AA565" s="20"/>
    </row>
    <row r="566" spans="1:27" ht="12.75" x14ac:dyDescent="0.2">
      <c r="A566" s="20"/>
      <c r="R566" s="20"/>
      <c r="S566" s="20"/>
      <c r="T566" s="20"/>
      <c r="U566" s="20"/>
      <c r="V566" s="20"/>
      <c r="W566" s="20"/>
      <c r="X566" s="20"/>
      <c r="Y566" s="20"/>
      <c r="Z566" s="20"/>
      <c r="AA566" s="20"/>
    </row>
    <row r="567" spans="1:27" ht="12.75" x14ac:dyDescent="0.2">
      <c r="A567" s="20"/>
      <c r="R567" s="20"/>
      <c r="S567" s="20"/>
      <c r="T567" s="20"/>
      <c r="U567" s="20"/>
      <c r="V567" s="20"/>
      <c r="W567" s="20"/>
      <c r="X567" s="20"/>
      <c r="Y567" s="20"/>
      <c r="Z567" s="20"/>
      <c r="AA567" s="20"/>
    </row>
    <row r="568" spans="1:27" ht="12.75" x14ac:dyDescent="0.2">
      <c r="A568" s="20"/>
      <c r="R568" s="20"/>
      <c r="S568" s="20"/>
      <c r="T568" s="20"/>
      <c r="U568" s="20"/>
      <c r="V568" s="20"/>
      <c r="W568" s="20"/>
      <c r="X568" s="20"/>
      <c r="Y568" s="20"/>
      <c r="Z568" s="20"/>
      <c r="AA568" s="20"/>
    </row>
    <row r="569" spans="1:27" ht="12.75" x14ac:dyDescent="0.2">
      <c r="A569" s="20"/>
      <c r="R569" s="20"/>
      <c r="S569" s="20"/>
      <c r="T569" s="20"/>
      <c r="U569" s="20"/>
      <c r="V569" s="20"/>
      <c r="W569" s="20"/>
      <c r="X569" s="20"/>
      <c r="Y569" s="20"/>
      <c r="Z569" s="20"/>
      <c r="AA569" s="20"/>
    </row>
    <row r="570" spans="1:27" ht="12.75" x14ac:dyDescent="0.2">
      <c r="A570" s="20"/>
      <c r="R570" s="20"/>
      <c r="S570" s="20"/>
      <c r="T570" s="20"/>
      <c r="U570" s="20"/>
      <c r="V570" s="20"/>
      <c r="W570" s="20"/>
      <c r="X570" s="20"/>
      <c r="Y570" s="20"/>
      <c r="Z570" s="20"/>
      <c r="AA570" s="20"/>
    </row>
    <row r="571" spans="1:27" ht="12.75" x14ac:dyDescent="0.2">
      <c r="A571" s="20"/>
      <c r="R571" s="20"/>
      <c r="S571" s="20"/>
      <c r="T571" s="20"/>
      <c r="U571" s="20"/>
      <c r="V571" s="20"/>
      <c r="W571" s="20"/>
      <c r="X571" s="20"/>
      <c r="Y571" s="20"/>
      <c r="Z571" s="20"/>
      <c r="AA571" s="20"/>
    </row>
    <row r="572" spans="1:27" ht="12.75" x14ac:dyDescent="0.2">
      <c r="A572" s="20"/>
      <c r="R572" s="20"/>
      <c r="S572" s="20"/>
      <c r="T572" s="20"/>
      <c r="U572" s="20"/>
      <c r="V572" s="20"/>
      <c r="W572" s="20"/>
      <c r="X572" s="20"/>
      <c r="Y572" s="20"/>
      <c r="Z572" s="20"/>
      <c r="AA572" s="20"/>
    </row>
    <row r="573" spans="1:27" ht="12.75" x14ac:dyDescent="0.2">
      <c r="A573" s="20"/>
      <c r="R573" s="20"/>
      <c r="S573" s="20"/>
      <c r="T573" s="20"/>
      <c r="U573" s="20"/>
      <c r="V573" s="20"/>
      <c r="W573" s="20"/>
      <c r="X573" s="20"/>
      <c r="Y573" s="20"/>
      <c r="Z573" s="20"/>
      <c r="AA573" s="20"/>
    </row>
    <row r="574" spans="1:27" ht="12.75" x14ac:dyDescent="0.2">
      <c r="A574" s="20"/>
      <c r="R574" s="20"/>
      <c r="S574" s="20"/>
      <c r="T574" s="20"/>
      <c r="U574" s="20"/>
      <c r="V574" s="20"/>
      <c r="W574" s="20"/>
      <c r="X574" s="20"/>
      <c r="Y574" s="20"/>
      <c r="Z574" s="20"/>
      <c r="AA574" s="20"/>
    </row>
    <row r="575" spans="1:27" ht="12.75" x14ac:dyDescent="0.2">
      <c r="A575" s="20"/>
      <c r="R575" s="20"/>
      <c r="S575" s="20"/>
      <c r="T575" s="20"/>
      <c r="U575" s="20"/>
      <c r="V575" s="20"/>
      <c r="W575" s="20"/>
      <c r="X575" s="20"/>
      <c r="Y575" s="20"/>
      <c r="Z575" s="20"/>
      <c r="AA575" s="20"/>
    </row>
    <row r="576" spans="1:27" ht="12.75" x14ac:dyDescent="0.2">
      <c r="A576" s="20"/>
      <c r="R576" s="20"/>
      <c r="S576" s="20"/>
      <c r="T576" s="20"/>
      <c r="U576" s="20"/>
      <c r="V576" s="20"/>
      <c r="W576" s="20"/>
      <c r="X576" s="20"/>
      <c r="Y576" s="20"/>
      <c r="Z576" s="20"/>
      <c r="AA576" s="20"/>
    </row>
    <row r="577" spans="1:27" ht="12.75" x14ac:dyDescent="0.2">
      <c r="A577" s="20"/>
      <c r="R577" s="20"/>
      <c r="S577" s="20"/>
      <c r="T577" s="20"/>
      <c r="U577" s="20"/>
      <c r="V577" s="20"/>
      <c r="W577" s="20"/>
      <c r="X577" s="20"/>
      <c r="Y577" s="20"/>
      <c r="Z577" s="20"/>
      <c r="AA577" s="20"/>
    </row>
    <row r="578" spans="1:27" ht="12.75" x14ac:dyDescent="0.2">
      <c r="A578" s="20"/>
      <c r="R578" s="20"/>
      <c r="S578" s="20"/>
      <c r="T578" s="20"/>
      <c r="U578" s="20"/>
      <c r="V578" s="20"/>
      <c r="W578" s="20"/>
      <c r="X578" s="20"/>
      <c r="Y578" s="20"/>
      <c r="Z578" s="20"/>
      <c r="AA578" s="20"/>
    </row>
    <row r="579" spans="1:27" ht="12.75" x14ac:dyDescent="0.2">
      <c r="A579" s="20"/>
      <c r="R579" s="20"/>
      <c r="S579" s="20"/>
      <c r="T579" s="20"/>
      <c r="U579" s="20"/>
      <c r="V579" s="20"/>
      <c r="W579" s="20"/>
      <c r="X579" s="20"/>
      <c r="Y579" s="20"/>
      <c r="Z579" s="20"/>
      <c r="AA579" s="20"/>
    </row>
    <row r="580" spans="1:27" ht="12.75" x14ac:dyDescent="0.2">
      <c r="A580" s="20"/>
      <c r="R580" s="20"/>
      <c r="S580" s="20"/>
      <c r="T580" s="20"/>
      <c r="U580" s="20"/>
      <c r="V580" s="20"/>
      <c r="W580" s="20"/>
      <c r="X580" s="20"/>
      <c r="Y580" s="20"/>
      <c r="Z580" s="20"/>
      <c r="AA580" s="20"/>
    </row>
    <row r="581" spans="1:27" ht="12.75" x14ac:dyDescent="0.2">
      <c r="A581" s="20"/>
      <c r="R581" s="20"/>
      <c r="S581" s="20"/>
      <c r="T581" s="20"/>
      <c r="U581" s="20"/>
      <c r="V581" s="20"/>
      <c r="W581" s="20"/>
      <c r="X581" s="20"/>
      <c r="Y581" s="20"/>
      <c r="Z581" s="20"/>
      <c r="AA581" s="20"/>
    </row>
    <row r="582" spans="1:27" ht="12.75" x14ac:dyDescent="0.2">
      <c r="A582" s="20"/>
      <c r="R582" s="20"/>
      <c r="S582" s="20"/>
      <c r="T582" s="20"/>
      <c r="U582" s="20"/>
      <c r="V582" s="20"/>
      <c r="W582" s="20"/>
      <c r="X582" s="20"/>
      <c r="Y582" s="20"/>
      <c r="Z582" s="20"/>
      <c r="AA582" s="20"/>
    </row>
    <row r="583" spans="1:27" ht="12.75" x14ac:dyDescent="0.2">
      <c r="A583" s="20"/>
      <c r="R583" s="20"/>
      <c r="S583" s="20"/>
      <c r="T583" s="20"/>
      <c r="U583" s="20"/>
      <c r="V583" s="20"/>
      <c r="W583" s="20"/>
      <c r="X583" s="20"/>
      <c r="Y583" s="20"/>
      <c r="Z583" s="20"/>
      <c r="AA583" s="20"/>
    </row>
    <row r="584" spans="1:27" ht="12.75" x14ac:dyDescent="0.2">
      <c r="A584" s="20"/>
      <c r="R584" s="20"/>
      <c r="S584" s="20"/>
      <c r="T584" s="20"/>
      <c r="U584" s="20"/>
      <c r="V584" s="20"/>
      <c r="W584" s="20"/>
      <c r="X584" s="20"/>
      <c r="Y584" s="20"/>
      <c r="Z584" s="20"/>
      <c r="AA584" s="20"/>
    </row>
    <row r="585" spans="1:27" ht="12.75" x14ac:dyDescent="0.2">
      <c r="A585" s="20"/>
      <c r="R585" s="20"/>
      <c r="S585" s="20"/>
      <c r="T585" s="20"/>
      <c r="U585" s="20"/>
      <c r="V585" s="20"/>
      <c r="W585" s="20"/>
      <c r="X585" s="20"/>
      <c r="Y585" s="20"/>
      <c r="Z585" s="20"/>
      <c r="AA585" s="20"/>
    </row>
    <row r="586" spans="1:27" ht="12.75" x14ac:dyDescent="0.2">
      <c r="A586" s="20"/>
      <c r="R586" s="20"/>
      <c r="S586" s="20"/>
      <c r="T586" s="20"/>
      <c r="U586" s="20"/>
      <c r="V586" s="20"/>
      <c r="W586" s="20"/>
      <c r="X586" s="20"/>
      <c r="Y586" s="20"/>
      <c r="Z586" s="20"/>
      <c r="AA586" s="20"/>
    </row>
    <row r="587" spans="1:27" ht="12.75" x14ac:dyDescent="0.2">
      <c r="A587" s="20"/>
      <c r="R587" s="20"/>
      <c r="S587" s="20"/>
      <c r="T587" s="20"/>
      <c r="U587" s="20"/>
      <c r="V587" s="20"/>
      <c r="W587" s="20"/>
      <c r="X587" s="20"/>
      <c r="Y587" s="20"/>
      <c r="Z587" s="20"/>
      <c r="AA587" s="20"/>
    </row>
    <row r="588" spans="1:27" ht="12.75" x14ac:dyDescent="0.2">
      <c r="A588" s="20"/>
      <c r="R588" s="20"/>
      <c r="S588" s="20"/>
      <c r="T588" s="20"/>
      <c r="U588" s="20"/>
      <c r="V588" s="20"/>
      <c r="W588" s="20"/>
      <c r="X588" s="20"/>
      <c r="Y588" s="20"/>
      <c r="Z588" s="20"/>
      <c r="AA588" s="20"/>
    </row>
    <row r="589" spans="1:27" ht="12.75" x14ac:dyDescent="0.2">
      <c r="A589" s="20"/>
      <c r="R589" s="20"/>
      <c r="S589" s="20"/>
      <c r="T589" s="20"/>
      <c r="U589" s="20"/>
      <c r="V589" s="20"/>
      <c r="W589" s="20"/>
      <c r="X589" s="20"/>
      <c r="Y589" s="20"/>
      <c r="Z589" s="20"/>
      <c r="AA589" s="20"/>
    </row>
    <row r="590" spans="1:27" ht="12.75" x14ac:dyDescent="0.2">
      <c r="A590" s="20"/>
      <c r="R590" s="20"/>
      <c r="S590" s="20"/>
      <c r="T590" s="20"/>
      <c r="U590" s="20"/>
      <c r="V590" s="20"/>
      <c r="W590" s="20"/>
      <c r="X590" s="20"/>
      <c r="Y590" s="20"/>
      <c r="Z590" s="20"/>
      <c r="AA590" s="20"/>
    </row>
    <row r="591" spans="1:27" ht="12.75" x14ac:dyDescent="0.2">
      <c r="A591" s="20"/>
      <c r="R591" s="20"/>
      <c r="S591" s="20"/>
      <c r="T591" s="20"/>
      <c r="U591" s="20"/>
      <c r="V591" s="20"/>
      <c r="W591" s="20"/>
      <c r="X591" s="20"/>
      <c r="Y591" s="20"/>
      <c r="Z591" s="20"/>
      <c r="AA591" s="20"/>
    </row>
    <row r="592" spans="1:27" ht="12.75" x14ac:dyDescent="0.2">
      <c r="A592" s="20"/>
      <c r="R592" s="20"/>
      <c r="S592" s="20"/>
      <c r="T592" s="20"/>
      <c r="U592" s="20"/>
      <c r="V592" s="20"/>
      <c r="W592" s="20"/>
      <c r="X592" s="20"/>
      <c r="Y592" s="20"/>
      <c r="Z592" s="20"/>
      <c r="AA592" s="20"/>
    </row>
    <row r="593" spans="1:27" ht="12.75" x14ac:dyDescent="0.2">
      <c r="A593" s="20"/>
      <c r="R593" s="20"/>
      <c r="S593" s="20"/>
      <c r="T593" s="20"/>
      <c r="U593" s="20"/>
      <c r="V593" s="20"/>
      <c r="W593" s="20"/>
      <c r="X593" s="20"/>
      <c r="Y593" s="20"/>
      <c r="Z593" s="20"/>
      <c r="AA593" s="20"/>
    </row>
    <row r="594" spans="1:27" ht="12.75" x14ac:dyDescent="0.2">
      <c r="A594" s="20"/>
      <c r="R594" s="20"/>
      <c r="S594" s="20"/>
      <c r="T594" s="20"/>
      <c r="U594" s="20"/>
      <c r="V594" s="20"/>
      <c r="W594" s="20"/>
      <c r="X594" s="20"/>
      <c r="Y594" s="20"/>
      <c r="Z594" s="20"/>
      <c r="AA594" s="20"/>
    </row>
    <row r="595" spans="1:27" ht="12.75" x14ac:dyDescent="0.2">
      <c r="A595" s="20"/>
      <c r="R595" s="20"/>
      <c r="S595" s="20"/>
      <c r="T595" s="20"/>
      <c r="U595" s="20"/>
      <c r="V595" s="20"/>
      <c r="W595" s="20"/>
      <c r="X595" s="20"/>
      <c r="Y595" s="20"/>
      <c r="Z595" s="20"/>
      <c r="AA595" s="20"/>
    </row>
    <row r="596" spans="1:27" ht="12.75" x14ac:dyDescent="0.2">
      <c r="A596" s="20"/>
      <c r="R596" s="20"/>
      <c r="S596" s="20"/>
      <c r="T596" s="20"/>
      <c r="U596" s="20"/>
      <c r="V596" s="20"/>
      <c r="W596" s="20"/>
      <c r="X596" s="20"/>
      <c r="Y596" s="20"/>
      <c r="Z596" s="20"/>
      <c r="AA596" s="20"/>
    </row>
    <row r="597" spans="1:27" ht="12.75" x14ac:dyDescent="0.2">
      <c r="A597" s="20"/>
      <c r="R597" s="20"/>
      <c r="S597" s="20"/>
      <c r="T597" s="20"/>
      <c r="U597" s="20"/>
      <c r="V597" s="20"/>
      <c r="W597" s="20"/>
      <c r="X597" s="20"/>
      <c r="Y597" s="20"/>
      <c r="Z597" s="20"/>
      <c r="AA597" s="20"/>
    </row>
    <row r="598" spans="1:27" ht="12.75" x14ac:dyDescent="0.2">
      <c r="A598" s="20"/>
      <c r="R598" s="20"/>
      <c r="S598" s="20"/>
      <c r="T598" s="20"/>
      <c r="U598" s="20"/>
      <c r="V598" s="20"/>
      <c r="W598" s="20"/>
      <c r="X598" s="20"/>
      <c r="Y598" s="20"/>
      <c r="Z598" s="20"/>
      <c r="AA598" s="20"/>
    </row>
    <row r="599" spans="1:27" ht="12.75" x14ac:dyDescent="0.2">
      <c r="A599" s="20"/>
      <c r="R599" s="20"/>
      <c r="S599" s="20"/>
      <c r="T599" s="20"/>
      <c r="U599" s="20"/>
      <c r="V599" s="20"/>
      <c r="W599" s="20"/>
      <c r="X599" s="20"/>
      <c r="Y599" s="20"/>
      <c r="Z599" s="20"/>
      <c r="AA599" s="20"/>
    </row>
    <row r="600" spans="1:27" ht="12.75" x14ac:dyDescent="0.2">
      <c r="A600" s="20"/>
      <c r="R600" s="20"/>
      <c r="S600" s="20"/>
      <c r="T600" s="20"/>
      <c r="U600" s="20"/>
      <c r="V600" s="20"/>
      <c r="W600" s="20"/>
      <c r="X600" s="20"/>
      <c r="Y600" s="20"/>
      <c r="Z600" s="20"/>
      <c r="AA600" s="20"/>
    </row>
    <row r="601" spans="1:27" ht="12.75" x14ac:dyDescent="0.2">
      <c r="A601" s="20"/>
      <c r="R601" s="20"/>
      <c r="S601" s="20"/>
      <c r="T601" s="20"/>
      <c r="U601" s="20"/>
      <c r="V601" s="20"/>
      <c r="W601" s="20"/>
      <c r="X601" s="20"/>
      <c r="Y601" s="20"/>
      <c r="Z601" s="20"/>
      <c r="AA601" s="20"/>
    </row>
    <row r="602" spans="1:27" ht="12.75" x14ac:dyDescent="0.2">
      <c r="A602" s="20"/>
      <c r="R602" s="20"/>
      <c r="S602" s="20"/>
      <c r="T602" s="20"/>
      <c r="U602" s="20"/>
      <c r="V602" s="20"/>
      <c r="W602" s="20"/>
      <c r="X602" s="20"/>
      <c r="Y602" s="20"/>
      <c r="Z602" s="20"/>
      <c r="AA602" s="20"/>
    </row>
    <row r="603" spans="1:27" ht="12.75" x14ac:dyDescent="0.2">
      <c r="A603" s="20"/>
      <c r="R603" s="20"/>
      <c r="S603" s="20"/>
      <c r="T603" s="20"/>
      <c r="U603" s="20"/>
      <c r="V603" s="20"/>
      <c r="W603" s="20"/>
      <c r="X603" s="20"/>
      <c r="Y603" s="20"/>
      <c r="Z603" s="20"/>
      <c r="AA603" s="20"/>
    </row>
    <row r="604" spans="1:27" ht="12.75" x14ac:dyDescent="0.2">
      <c r="A604" s="20"/>
      <c r="R604" s="20"/>
      <c r="S604" s="20"/>
      <c r="T604" s="20"/>
      <c r="U604" s="20"/>
      <c r="V604" s="20"/>
      <c r="W604" s="20"/>
      <c r="X604" s="20"/>
      <c r="Y604" s="20"/>
      <c r="Z604" s="20"/>
      <c r="AA604" s="20"/>
    </row>
    <row r="605" spans="1:27" ht="12.75" x14ac:dyDescent="0.2">
      <c r="A605" s="20"/>
      <c r="R605" s="20"/>
      <c r="S605" s="20"/>
      <c r="T605" s="20"/>
      <c r="U605" s="20"/>
      <c r="V605" s="20"/>
      <c r="W605" s="20"/>
      <c r="X605" s="20"/>
      <c r="Y605" s="20"/>
      <c r="Z605" s="20"/>
      <c r="AA605" s="20"/>
    </row>
    <row r="606" spans="1:27" ht="12.75" x14ac:dyDescent="0.2">
      <c r="A606" s="20"/>
      <c r="R606" s="20"/>
      <c r="S606" s="20"/>
      <c r="T606" s="20"/>
      <c r="U606" s="20"/>
      <c r="V606" s="20"/>
      <c r="W606" s="20"/>
      <c r="X606" s="20"/>
      <c r="Y606" s="20"/>
      <c r="Z606" s="20"/>
      <c r="AA606" s="20"/>
    </row>
    <row r="607" spans="1:27" ht="12.75" x14ac:dyDescent="0.2">
      <c r="A607" s="20"/>
      <c r="R607" s="20"/>
      <c r="S607" s="20"/>
      <c r="T607" s="20"/>
      <c r="U607" s="20"/>
      <c r="V607" s="20"/>
      <c r="W607" s="20"/>
      <c r="X607" s="20"/>
      <c r="Y607" s="20"/>
      <c r="Z607" s="20"/>
      <c r="AA607" s="20"/>
    </row>
    <row r="608" spans="1:27" ht="12.75" x14ac:dyDescent="0.2">
      <c r="A608" s="20"/>
      <c r="R608" s="20"/>
      <c r="S608" s="20"/>
      <c r="T608" s="20"/>
      <c r="U608" s="20"/>
      <c r="V608" s="20"/>
      <c r="W608" s="20"/>
      <c r="X608" s="20"/>
      <c r="Y608" s="20"/>
      <c r="Z608" s="20"/>
      <c r="AA608" s="20"/>
    </row>
    <row r="609" spans="1:27" ht="12.75" x14ac:dyDescent="0.2">
      <c r="A609" s="20"/>
      <c r="R609" s="20"/>
      <c r="S609" s="20"/>
      <c r="T609" s="20"/>
      <c r="U609" s="20"/>
      <c r="V609" s="20"/>
      <c r="W609" s="20"/>
      <c r="X609" s="20"/>
      <c r="Y609" s="20"/>
      <c r="Z609" s="20"/>
      <c r="AA609" s="20"/>
    </row>
    <row r="610" spans="1:27" ht="12.75" x14ac:dyDescent="0.2">
      <c r="A610" s="20"/>
      <c r="R610" s="20"/>
      <c r="S610" s="20"/>
      <c r="T610" s="20"/>
      <c r="U610" s="20"/>
      <c r="V610" s="20"/>
      <c r="W610" s="20"/>
      <c r="X610" s="20"/>
      <c r="Y610" s="20"/>
      <c r="Z610" s="20"/>
      <c r="AA610" s="20"/>
    </row>
    <row r="611" spans="1:27" ht="12.75" x14ac:dyDescent="0.2">
      <c r="A611" s="20"/>
      <c r="R611" s="20"/>
      <c r="S611" s="20"/>
      <c r="T611" s="20"/>
      <c r="U611" s="20"/>
      <c r="V611" s="20"/>
      <c r="W611" s="20"/>
      <c r="X611" s="20"/>
      <c r="Y611" s="20"/>
      <c r="Z611" s="20"/>
      <c r="AA611" s="20"/>
    </row>
    <row r="612" spans="1:27" ht="12.75" x14ac:dyDescent="0.2">
      <c r="A612" s="20"/>
      <c r="R612" s="20"/>
      <c r="S612" s="20"/>
      <c r="T612" s="20"/>
      <c r="U612" s="20"/>
      <c r="V612" s="20"/>
      <c r="W612" s="20"/>
      <c r="X612" s="20"/>
      <c r="Y612" s="20"/>
      <c r="Z612" s="20"/>
      <c r="AA612" s="20"/>
    </row>
    <row r="613" spans="1:27" ht="12.75" x14ac:dyDescent="0.2">
      <c r="A613" s="20"/>
      <c r="R613" s="20"/>
      <c r="S613" s="20"/>
      <c r="T613" s="20"/>
      <c r="U613" s="20"/>
      <c r="V613" s="20"/>
      <c r="W613" s="20"/>
      <c r="X613" s="20"/>
      <c r="Y613" s="20"/>
      <c r="Z613" s="20"/>
      <c r="AA613" s="20"/>
    </row>
    <row r="614" spans="1:27" ht="12.75" x14ac:dyDescent="0.2">
      <c r="A614" s="20"/>
      <c r="R614" s="20"/>
      <c r="S614" s="20"/>
      <c r="T614" s="20"/>
      <c r="U614" s="20"/>
      <c r="V614" s="20"/>
      <c r="W614" s="20"/>
      <c r="X614" s="20"/>
      <c r="Y614" s="20"/>
      <c r="Z614" s="20"/>
      <c r="AA614" s="20"/>
    </row>
    <row r="615" spans="1:27" ht="12.75" x14ac:dyDescent="0.2">
      <c r="A615" s="20"/>
      <c r="R615" s="20"/>
      <c r="S615" s="20"/>
      <c r="T615" s="20"/>
      <c r="U615" s="20"/>
      <c r="V615" s="20"/>
      <c r="W615" s="20"/>
      <c r="X615" s="20"/>
      <c r="Y615" s="20"/>
      <c r="Z615" s="20"/>
      <c r="AA615" s="20"/>
    </row>
    <row r="616" spans="1:27" ht="12.75" x14ac:dyDescent="0.2">
      <c r="A616" s="20"/>
      <c r="R616" s="20"/>
      <c r="S616" s="20"/>
      <c r="T616" s="20"/>
      <c r="U616" s="20"/>
      <c r="V616" s="20"/>
      <c r="W616" s="20"/>
      <c r="X616" s="20"/>
      <c r="Y616" s="20"/>
      <c r="Z616" s="20"/>
      <c r="AA616" s="20"/>
    </row>
    <row r="617" spans="1:27" ht="12.75" x14ac:dyDescent="0.2">
      <c r="A617" s="20"/>
      <c r="R617" s="20"/>
      <c r="S617" s="20"/>
      <c r="T617" s="20"/>
      <c r="U617" s="20"/>
      <c r="V617" s="20"/>
      <c r="W617" s="20"/>
      <c r="X617" s="20"/>
      <c r="Y617" s="20"/>
      <c r="Z617" s="20"/>
      <c r="AA617" s="20"/>
    </row>
    <row r="618" spans="1:27" ht="12.75" x14ac:dyDescent="0.2">
      <c r="A618" s="20"/>
      <c r="R618" s="20"/>
      <c r="S618" s="20"/>
      <c r="T618" s="20"/>
      <c r="U618" s="20"/>
      <c r="V618" s="20"/>
      <c r="W618" s="20"/>
      <c r="X618" s="20"/>
      <c r="Y618" s="20"/>
      <c r="Z618" s="20"/>
      <c r="AA618" s="20"/>
    </row>
    <row r="619" spans="1:27" ht="12.75" x14ac:dyDescent="0.2">
      <c r="A619" s="20"/>
      <c r="R619" s="20"/>
      <c r="S619" s="20"/>
      <c r="T619" s="20"/>
      <c r="U619" s="20"/>
      <c r="V619" s="20"/>
      <c r="W619" s="20"/>
      <c r="X619" s="20"/>
      <c r="Y619" s="20"/>
      <c r="Z619" s="20"/>
      <c r="AA619" s="20"/>
    </row>
    <row r="620" spans="1:27" ht="12.75" x14ac:dyDescent="0.2">
      <c r="A620" s="20"/>
      <c r="R620" s="20"/>
      <c r="S620" s="20"/>
      <c r="T620" s="20"/>
      <c r="U620" s="20"/>
      <c r="V620" s="20"/>
      <c r="W620" s="20"/>
      <c r="X620" s="20"/>
      <c r="Y620" s="20"/>
      <c r="Z620" s="20"/>
      <c r="AA620" s="20"/>
    </row>
    <row r="621" spans="1:27" ht="12.75" x14ac:dyDescent="0.2">
      <c r="A621" s="20"/>
      <c r="R621" s="20"/>
      <c r="S621" s="20"/>
      <c r="T621" s="20"/>
      <c r="U621" s="20"/>
      <c r="V621" s="20"/>
      <c r="W621" s="20"/>
      <c r="X621" s="20"/>
      <c r="Y621" s="20"/>
      <c r="Z621" s="20"/>
      <c r="AA621" s="20"/>
    </row>
    <row r="622" spans="1:27" ht="12.75" x14ac:dyDescent="0.2">
      <c r="A622" s="20"/>
      <c r="R622" s="20"/>
      <c r="S622" s="20"/>
      <c r="T622" s="20"/>
      <c r="U622" s="20"/>
      <c r="V622" s="20"/>
      <c r="W622" s="20"/>
      <c r="X622" s="20"/>
      <c r="Y622" s="20"/>
      <c r="Z622" s="20"/>
      <c r="AA622" s="20"/>
    </row>
    <row r="623" spans="1:27" ht="12.75" x14ac:dyDescent="0.2">
      <c r="A623" s="20"/>
      <c r="R623" s="20"/>
      <c r="S623" s="20"/>
      <c r="T623" s="20"/>
      <c r="U623" s="20"/>
      <c r="V623" s="20"/>
      <c r="W623" s="20"/>
      <c r="X623" s="20"/>
      <c r="Y623" s="20"/>
      <c r="Z623" s="20"/>
      <c r="AA623" s="20"/>
    </row>
    <row r="624" spans="1:27" ht="12.75" x14ac:dyDescent="0.2">
      <c r="A624" s="20"/>
      <c r="R624" s="20"/>
      <c r="S624" s="20"/>
      <c r="T624" s="20"/>
      <c r="U624" s="20"/>
      <c r="V624" s="20"/>
      <c r="W624" s="20"/>
      <c r="X624" s="20"/>
      <c r="Y624" s="20"/>
      <c r="Z624" s="20"/>
      <c r="AA624" s="20"/>
    </row>
    <row r="625" spans="1:27" ht="12.75" x14ac:dyDescent="0.2">
      <c r="A625" s="20"/>
      <c r="R625" s="20"/>
      <c r="S625" s="20"/>
      <c r="T625" s="20"/>
      <c r="U625" s="20"/>
      <c r="V625" s="20"/>
      <c r="W625" s="20"/>
      <c r="X625" s="20"/>
      <c r="Y625" s="20"/>
      <c r="Z625" s="20"/>
      <c r="AA625" s="20"/>
    </row>
    <row r="626" spans="1:27" ht="12.75" x14ac:dyDescent="0.2">
      <c r="A626" s="20"/>
      <c r="R626" s="20"/>
      <c r="S626" s="20"/>
      <c r="T626" s="20"/>
      <c r="U626" s="20"/>
      <c r="V626" s="20"/>
      <c r="W626" s="20"/>
      <c r="X626" s="20"/>
      <c r="Y626" s="20"/>
      <c r="Z626" s="20"/>
      <c r="AA626" s="20"/>
    </row>
    <row r="627" spans="1:27" ht="12.75" x14ac:dyDescent="0.2">
      <c r="A627" s="20"/>
      <c r="R627" s="20"/>
      <c r="S627" s="20"/>
      <c r="T627" s="20"/>
      <c r="U627" s="20"/>
      <c r="V627" s="20"/>
      <c r="W627" s="20"/>
      <c r="X627" s="20"/>
      <c r="Y627" s="20"/>
      <c r="Z627" s="20"/>
      <c r="AA627" s="20"/>
    </row>
    <row r="628" spans="1:27" ht="12.75" x14ac:dyDescent="0.2">
      <c r="A628" s="20"/>
      <c r="R628" s="20"/>
      <c r="S628" s="20"/>
      <c r="T628" s="20"/>
      <c r="U628" s="20"/>
      <c r="V628" s="20"/>
      <c r="W628" s="20"/>
      <c r="X628" s="20"/>
      <c r="Y628" s="20"/>
      <c r="Z628" s="20"/>
      <c r="AA628" s="20"/>
    </row>
    <row r="629" spans="1:27" ht="12.75" x14ac:dyDescent="0.2">
      <c r="A629" s="20"/>
      <c r="R629" s="20"/>
      <c r="S629" s="20"/>
      <c r="T629" s="20"/>
      <c r="U629" s="20"/>
      <c r="V629" s="20"/>
      <c r="W629" s="20"/>
      <c r="X629" s="20"/>
      <c r="Y629" s="20"/>
      <c r="Z629" s="20"/>
      <c r="AA629" s="20"/>
    </row>
    <row r="630" spans="1:27" ht="12.75" x14ac:dyDescent="0.2">
      <c r="A630" s="20"/>
      <c r="R630" s="20"/>
      <c r="S630" s="20"/>
      <c r="T630" s="20"/>
      <c r="U630" s="20"/>
      <c r="V630" s="20"/>
      <c r="W630" s="20"/>
      <c r="X630" s="20"/>
      <c r="Y630" s="20"/>
      <c r="Z630" s="20"/>
      <c r="AA630" s="20"/>
    </row>
    <row r="631" spans="1:27" ht="12.75" x14ac:dyDescent="0.2">
      <c r="A631" s="20"/>
      <c r="R631" s="20"/>
      <c r="S631" s="20"/>
      <c r="T631" s="20"/>
      <c r="U631" s="20"/>
      <c r="V631" s="20"/>
      <c r="W631" s="20"/>
      <c r="X631" s="20"/>
      <c r="Y631" s="20"/>
      <c r="Z631" s="20"/>
      <c r="AA631" s="20"/>
    </row>
    <row r="632" spans="1:27" ht="12.75" x14ac:dyDescent="0.2">
      <c r="A632" s="20"/>
      <c r="R632" s="20"/>
      <c r="S632" s="20"/>
      <c r="T632" s="20"/>
      <c r="U632" s="20"/>
      <c r="V632" s="20"/>
      <c r="W632" s="20"/>
      <c r="X632" s="20"/>
      <c r="Y632" s="20"/>
      <c r="Z632" s="20"/>
      <c r="AA632" s="20"/>
    </row>
    <row r="633" spans="1:27" ht="12.75" x14ac:dyDescent="0.2">
      <c r="A633" s="20"/>
      <c r="R633" s="20"/>
      <c r="S633" s="20"/>
      <c r="T633" s="20"/>
      <c r="U633" s="20"/>
      <c r="V633" s="20"/>
      <c r="W633" s="20"/>
      <c r="X633" s="20"/>
      <c r="Y633" s="20"/>
      <c r="Z633" s="20"/>
      <c r="AA633" s="20"/>
    </row>
    <row r="634" spans="1:27" ht="12.75" x14ac:dyDescent="0.2">
      <c r="A634" s="20"/>
      <c r="R634" s="20"/>
      <c r="S634" s="20"/>
      <c r="T634" s="20"/>
      <c r="U634" s="20"/>
      <c r="V634" s="20"/>
      <c r="W634" s="20"/>
      <c r="X634" s="20"/>
      <c r="Y634" s="20"/>
      <c r="Z634" s="20"/>
      <c r="AA634" s="20"/>
    </row>
    <row r="635" spans="1:27" ht="12.75" x14ac:dyDescent="0.2">
      <c r="A635" s="20"/>
      <c r="R635" s="20"/>
      <c r="S635" s="20"/>
      <c r="T635" s="20"/>
      <c r="U635" s="20"/>
      <c r="V635" s="20"/>
      <c r="W635" s="20"/>
      <c r="X635" s="20"/>
      <c r="Y635" s="20"/>
      <c r="Z635" s="20"/>
      <c r="AA635" s="20"/>
    </row>
    <row r="636" spans="1:27" ht="12.75" x14ac:dyDescent="0.2">
      <c r="A636" s="20"/>
      <c r="R636" s="20"/>
      <c r="S636" s="20"/>
      <c r="T636" s="20"/>
      <c r="U636" s="20"/>
      <c r="V636" s="20"/>
      <c r="W636" s="20"/>
      <c r="X636" s="20"/>
      <c r="Y636" s="20"/>
      <c r="Z636" s="20"/>
      <c r="AA636" s="20"/>
    </row>
    <row r="637" spans="1:27" ht="12.75" x14ac:dyDescent="0.2">
      <c r="A637" s="20"/>
      <c r="R637" s="20"/>
      <c r="S637" s="20"/>
      <c r="T637" s="20"/>
      <c r="U637" s="20"/>
      <c r="V637" s="20"/>
      <c r="W637" s="20"/>
      <c r="X637" s="20"/>
      <c r="Y637" s="20"/>
      <c r="Z637" s="20"/>
      <c r="AA637" s="20"/>
    </row>
    <row r="638" spans="1:27" ht="12.75" x14ac:dyDescent="0.2">
      <c r="A638" s="20"/>
      <c r="R638" s="20"/>
      <c r="S638" s="20"/>
      <c r="T638" s="20"/>
      <c r="U638" s="20"/>
      <c r="V638" s="20"/>
      <c r="W638" s="20"/>
      <c r="X638" s="20"/>
      <c r="Y638" s="20"/>
      <c r="Z638" s="20"/>
      <c r="AA638" s="20"/>
    </row>
    <row r="639" spans="1:27" ht="12.75" x14ac:dyDescent="0.2">
      <c r="A639" s="20"/>
      <c r="R639" s="20"/>
      <c r="S639" s="20"/>
      <c r="T639" s="20"/>
      <c r="U639" s="20"/>
      <c r="V639" s="20"/>
      <c r="W639" s="20"/>
      <c r="X639" s="20"/>
      <c r="Y639" s="20"/>
      <c r="Z639" s="20"/>
      <c r="AA639" s="20"/>
    </row>
    <row r="640" spans="1:27" ht="12.75" x14ac:dyDescent="0.2">
      <c r="A640" s="20"/>
      <c r="R640" s="20"/>
      <c r="S640" s="20"/>
      <c r="T640" s="20"/>
      <c r="U640" s="20"/>
      <c r="V640" s="20"/>
      <c r="W640" s="20"/>
      <c r="X640" s="20"/>
      <c r="Y640" s="20"/>
      <c r="Z640" s="20"/>
      <c r="AA640" s="20"/>
    </row>
    <row r="641" spans="1:27" ht="12.75" x14ac:dyDescent="0.2">
      <c r="A641" s="20"/>
      <c r="R641" s="20"/>
      <c r="S641" s="20"/>
      <c r="T641" s="20"/>
      <c r="U641" s="20"/>
      <c r="V641" s="20"/>
      <c r="W641" s="20"/>
      <c r="X641" s="20"/>
      <c r="Y641" s="20"/>
      <c r="Z641" s="20"/>
      <c r="AA641" s="20"/>
    </row>
    <row r="642" spans="1:27" ht="12.75" x14ac:dyDescent="0.2">
      <c r="A642" s="20"/>
      <c r="R642" s="20"/>
      <c r="S642" s="20"/>
      <c r="T642" s="20"/>
      <c r="U642" s="20"/>
      <c r="V642" s="20"/>
      <c r="W642" s="20"/>
      <c r="X642" s="20"/>
      <c r="Y642" s="20"/>
      <c r="Z642" s="20"/>
      <c r="AA642" s="20"/>
    </row>
    <row r="643" spans="1:27" ht="12.75" x14ac:dyDescent="0.2">
      <c r="A643" s="20"/>
      <c r="R643" s="20"/>
      <c r="S643" s="20"/>
      <c r="T643" s="20"/>
      <c r="U643" s="20"/>
      <c r="V643" s="20"/>
      <c r="W643" s="20"/>
      <c r="X643" s="20"/>
      <c r="Y643" s="20"/>
      <c r="Z643" s="20"/>
      <c r="AA643" s="20"/>
    </row>
    <row r="644" spans="1:27" ht="12.75" x14ac:dyDescent="0.2">
      <c r="A644" s="20"/>
      <c r="R644" s="20"/>
      <c r="S644" s="20"/>
      <c r="T644" s="20"/>
      <c r="U644" s="20"/>
      <c r="V644" s="20"/>
      <c r="W644" s="20"/>
      <c r="X644" s="20"/>
      <c r="Y644" s="20"/>
      <c r="Z644" s="20"/>
      <c r="AA644" s="20"/>
    </row>
    <row r="645" spans="1:27" ht="12.75" x14ac:dyDescent="0.2">
      <c r="A645" s="20"/>
      <c r="R645" s="20"/>
      <c r="S645" s="20"/>
      <c r="T645" s="20"/>
      <c r="U645" s="20"/>
      <c r="V645" s="20"/>
      <c r="W645" s="20"/>
      <c r="X645" s="20"/>
      <c r="Y645" s="20"/>
      <c r="Z645" s="20"/>
      <c r="AA645" s="20"/>
    </row>
    <row r="646" spans="1:27" ht="12.75" x14ac:dyDescent="0.2">
      <c r="A646" s="20"/>
      <c r="R646" s="20"/>
      <c r="S646" s="20"/>
      <c r="T646" s="20"/>
      <c r="U646" s="20"/>
      <c r="V646" s="20"/>
      <c r="W646" s="20"/>
      <c r="X646" s="20"/>
      <c r="Y646" s="20"/>
      <c r="Z646" s="20"/>
      <c r="AA646" s="20"/>
    </row>
    <row r="647" spans="1:27" ht="12.75" x14ac:dyDescent="0.2">
      <c r="A647" s="20"/>
      <c r="R647" s="20"/>
      <c r="S647" s="20"/>
      <c r="T647" s="20"/>
      <c r="U647" s="20"/>
      <c r="V647" s="20"/>
      <c r="W647" s="20"/>
      <c r="X647" s="20"/>
      <c r="Y647" s="20"/>
      <c r="Z647" s="20"/>
      <c r="AA647" s="20"/>
    </row>
    <row r="648" spans="1:27" ht="12.75" x14ac:dyDescent="0.2">
      <c r="A648" s="20"/>
      <c r="R648" s="20"/>
      <c r="S648" s="20"/>
      <c r="T648" s="20"/>
      <c r="U648" s="20"/>
      <c r="V648" s="20"/>
      <c r="W648" s="20"/>
      <c r="X648" s="20"/>
      <c r="Y648" s="20"/>
      <c r="Z648" s="20"/>
      <c r="AA648" s="20"/>
    </row>
    <row r="649" spans="1:27" ht="12.75" x14ac:dyDescent="0.2">
      <c r="A649" s="20"/>
      <c r="R649" s="20"/>
      <c r="S649" s="20"/>
      <c r="T649" s="20"/>
      <c r="U649" s="20"/>
      <c r="V649" s="20"/>
      <c r="W649" s="20"/>
      <c r="X649" s="20"/>
      <c r="Y649" s="20"/>
      <c r="Z649" s="20"/>
      <c r="AA649" s="20"/>
    </row>
    <row r="650" spans="1:27" ht="12.75" x14ac:dyDescent="0.2">
      <c r="A650" s="20"/>
      <c r="R650" s="20"/>
      <c r="S650" s="20"/>
      <c r="T650" s="20"/>
      <c r="U650" s="20"/>
      <c r="V650" s="20"/>
      <c r="W650" s="20"/>
      <c r="X650" s="20"/>
      <c r="Y650" s="20"/>
      <c r="Z650" s="20"/>
      <c r="AA650" s="20"/>
    </row>
    <row r="651" spans="1:27" ht="12.75" x14ac:dyDescent="0.2">
      <c r="A651" s="20"/>
      <c r="R651" s="20"/>
      <c r="S651" s="20"/>
      <c r="T651" s="20"/>
      <c r="U651" s="20"/>
      <c r="V651" s="20"/>
      <c r="W651" s="20"/>
      <c r="X651" s="20"/>
      <c r="Y651" s="20"/>
      <c r="Z651" s="20"/>
      <c r="AA651" s="20"/>
    </row>
    <row r="652" spans="1:27" ht="12.75" x14ac:dyDescent="0.2">
      <c r="A652" s="20"/>
      <c r="R652" s="20"/>
      <c r="S652" s="20"/>
      <c r="T652" s="20"/>
      <c r="U652" s="20"/>
      <c r="V652" s="20"/>
      <c r="W652" s="20"/>
      <c r="X652" s="20"/>
      <c r="Y652" s="20"/>
      <c r="Z652" s="20"/>
      <c r="AA652" s="20"/>
    </row>
    <row r="653" spans="1:27" ht="12.75" x14ac:dyDescent="0.2">
      <c r="A653" s="20"/>
      <c r="R653" s="20"/>
      <c r="S653" s="20"/>
      <c r="T653" s="20"/>
      <c r="U653" s="20"/>
      <c r="V653" s="20"/>
      <c r="W653" s="20"/>
      <c r="X653" s="20"/>
      <c r="Y653" s="20"/>
      <c r="Z653" s="20"/>
      <c r="AA653" s="20"/>
    </row>
    <row r="654" spans="1:27" ht="12.75" x14ac:dyDescent="0.2">
      <c r="A654" s="20"/>
      <c r="R654" s="20"/>
      <c r="S654" s="20"/>
      <c r="T654" s="20"/>
      <c r="U654" s="20"/>
      <c r="V654" s="20"/>
      <c r="W654" s="20"/>
      <c r="X654" s="20"/>
      <c r="Y654" s="20"/>
      <c r="Z654" s="20"/>
      <c r="AA654" s="20"/>
    </row>
    <row r="655" spans="1:27" ht="12.75" x14ac:dyDescent="0.2">
      <c r="A655" s="20"/>
      <c r="R655" s="20"/>
      <c r="S655" s="20"/>
      <c r="T655" s="20"/>
      <c r="U655" s="20"/>
      <c r="V655" s="20"/>
      <c r="W655" s="20"/>
      <c r="X655" s="20"/>
      <c r="Y655" s="20"/>
      <c r="Z655" s="20"/>
      <c r="AA655" s="20"/>
    </row>
    <row r="656" spans="1:27" ht="12.75" x14ac:dyDescent="0.2">
      <c r="A656" s="20"/>
      <c r="R656" s="20"/>
      <c r="S656" s="20"/>
      <c r="T656" s="20"/>
      <c r="U656" s="20"/>
      <c r="V656" s="20"/>
      <c r="W656" s="20"/>
      <c r="X656" s="20"/>
      <c r="Y656" s="20"/>
      <c r="Z656" s="20"/>
      <c r="AA656" s="20"/>
    </row>
    <row r="657" spans="1:27" ht="12.75" x14ac:dyDescent="0.2">
      <c r="A657" s="20"/>
      <c r="R657" s="20"/>
      <c r="S657" s="20"/>
      <c r="T657" s="20"/>
      <c r="U657" s="20"/>
      <c r="V657" s="20"/>
      <c r="W657" s="20"/>
      <c r="X657" s="20"/>
      <c r="Y657" s="20"/>
      <c r="Z657" s="20"/>
      <c r="AA657" s="20"/>
    </row>
    <row r="658" spans="1:27" ht="12.75" x14ac:dyDescent="0.2">
      <c r="A658" s="20"/>
      <c r="R658" s="20"/>
      <c r="S658" s="20"/>
      <c r="T658" s="20"/>
      <c r="U658" s="20"/>
      <c r="V658" s="20"/>
      <c r="W658" s="20"/>
      <c r="X658" s="20"/>
      <c r="Y658" s="20"/>
      <c r="Z658" s="20"/>
      <c r="AA658" s="20"/>
    </row>
    <row r="659" spans="1:27" ht="12.75" x14ac:dyDescent="0.2">
      <c r="A659" s="20"/>
      <c r="R659" s="20"/>
      <c r="S659" s="20"/>
      <c r="T659" s="20"/>
      <c r="U659" s="20"/>
      <c r="V659" s="20"/>
      <c r="W659" s="20"/>
      <c r="X659" s="20"/>
      <c r="Y659" s="20"/>
      <c r="Z659" s="20"/>
      <c r="AA659" s="20"/>
    </row>
    <row r="660" spans="1:27" ht="12.75" x14ac:dyDescent="0.2">
      <c r="A660" s="20"/>
      <c r="R660" s="20"/>
      <c r="S660" s="20"/>
      <c r="T660" s="20"/>
      <c r="U660" s="20"/>
      <c r="V660" s="20"/>
      <c r="W660" s="20"/>
      <c r="X660" s="20"/>
      <c r="Y660" s="20"/>
      <c r="Z660" s="20"/>
      <c r="AA660" s="20"/>
    </row>
    <row r="661" spans="1:27" ht="12.75" x14ac:dyDescent="0.2">
      <c r="A661" s="20"/>
      <c r="R661" s="20"/>
      <c r="S661" s="20"/>
      <c r="T661" s="20"/>
      <c r="U661" s="20"/>
      <c r="V661" s="20"/>
      <c r="W661" s="20"/>
      <c r="X661" s="20"/>
      <c r="Y661" s="20"/>
      <c r="Z661" s="20"/>
      <c r="AA661" s="20"/>
    </row>
    <row r="662" spans="1:27" ht="12.75" x14ac:dyDescent="0.2">
      <c r="A662" s="20"/>
      <c r="R662" s="20"/>
      <c r="S662" s="20"/>
      <c r="T662" s="20"/>
      <c r="U662" s="20"/>
      <c r="V662" s="20"/>
      <c r="W662" s="20"/>
      <c r="X662" s="20"/>
      <c r="Y662" s="20"/>
      <c r="Z662" s="20"/>
      <c r="AA662" s="20"/>
    </row>
    <row r="663" spans="1:27" ht="12.75" x14ac:dyDescent="0.2">
      <c r="A663" s="20"/>
      <c r="R663" s="20"/>
      <c r="S663" s="20"/>
      <c r="T663" s="20"/>
      <c r="U663" s="20"/>
      <c r="V663" s="20"/>
      <c r="W663" s="20"/>
      <c r="X663" s="20"/>
      <c r="Y663" s="20"/>
      <c r="Z663" s="20"/>
      <c r="AA663" s="20"/>
    </row>
    <row r="664" spans="1:27" ht="12.75" x14ac:dyDescent="0.2">
      <c r="A664" s="20"/>
      <c r="R664" s="20"/>
      <c r="S664" s="20"/>
      <c r="T664" s="20"/>
      <c r="U664" s="20"/>
      <c r="V664" s="20"/>
      <c r="W664" s="20"/>
      <c r="X664" s="20"/>
      <c r="Y664" s="20"/>
      <c r="Z664" s="20"/>
      <c r="AA664" s="20"/>
    </row>
    <row r="665" spans="1:27" ht="12.75" x14ac:dyDescent="0.2">
      <c r="A665" s="20"/>
      <c r="R665" s="20"/>
      <c r="S665" s="20"/>
      <c r="T665" s="20"/>
      <c r="U665" s="20"/>
      <c r="V665" s="20"/>
      <c r="W665" s="20"/>
      <c r="X665" s="20"/>
      <c r="Y665" s="20"/>
      <c r="Z665" s="20"/>
      <c r="AA665" s="20"/>
    </row>
    <row r="666" spans="1:27" ht="12.75" x14ac:dyDescent="0.2">
      <c r="A666" s="20"/>
      <c r="R666" s="20"/>
      <c r="S666" s="20"/>
      <c r="T666" s="20"/>
      <c r="U666" s="20"/>
      <c r="V666" s="20"/>
      <c r="W666" s="20"/>
      <c r="X666" s="20"/>
      <c r="Y666" s="20"/>
      <c r="Z666" s="20"/>
      <c r="AA666" s="20"/>
    </row>
    <row r="667" spans="1:27" ht="12.75" x14ac:dyDescent="0.2">
      <c r="A667" s="20"/>
      <c r="R667" s="20"/>
      <c r="S667" s="20"/>
      <c r="T667" s="20"/>
      <c r="U667" s="20"/>
      <c r="V667" s="20"/>
      <c r="W667" s="20"/>
      <c r="X667" s="20"/>
      <c r="Y667" s="20"/>
      <c r="Z667" s="20"/>
      <c r="AA667" s="20"/>
    </row>
    <row r="668" spans="1:27" ht="12.75" x14ac:dyDescent="0.2">
      <c r="A668" s="20"/>
      <c r="R668" s="20"/>
      <c r="S668" s="20"/>
      <c r="T668" s="20"/>
      <c r="U668" s="20"/>
      <c r="V668" s="20"/>
      <c r="W668" s="20"/>
      <c r="X668" s="20"/>
      <c r="Y668" s="20"/>
      <c r="Z668" s="20"/>
      <c r="AA668" s="20"/>
    </row>
    <row r="669" spans="1:27" ht="12.75" x14ac:dyDescent="0.2">
      <c r="A669" s="20"/>
      <c r="R669" s="20"/>
      <c r="S669" s="20"/>
      <c r="T669" s="20"/>
      <c r="U669" s="20"/>
      <c r="V669" s="20"/>
      <c r="W669" s="20"/>
      <c r="X669" s="20"/>
      <c r="Y669" s="20"/>
      <c r="Z669" s="20"/>
      <c r="AA669" s="20"/>
    </row>
    <row r="670" spans="1:27" ht="12.75" x14ac:dyDescent="0.2">
      <c r="A670" s="20"/>
      <c r="R670" s="20"/>
      <c r="S670" s="20"/>
      <c r="T670" s="20"/>
      <c r="U670" s="20"/>
      <c r="V670" s="20"/>
      <c r="W670" s="20"/>
      <c r="X670" s="20"/>
      <c r="Y670" s="20"/>
      <c r="Z670" s="20"/>
      <c r="AA670" s="20"/>
    </row>
    <row r="671" spans="1:27" ht="12.75" x14ac:dyDescent="0.2">
      <c r="A671" s="20"/>
      <c r="R671" s="20"/>
      <c r="S671" s="20"/>
      <c r="T671" s="20"/>
      <c r="U671" s="20"/>
      <c r="V671" s="20"/>
      <c r="W671" s="20"/>
      <c r="X671" s="20"/>
      <c r="Y671" s="20"/>
      <c r="Z671" s="20"/>
      <c r="AA671" s="20"/>
    </row>
    <row r="672" spans="1:27" ht="12.75" x14ac:dyDescent="0.2">
      <c r="A672" s="20"/>
      <c r="R672" s="20"/>
      <c r="S672" s="20"/>
      <c r="T672" s="20"/>
      <c r="U672" s="20"/>
      <c r="V672" s="20"/>
      <c r="W672" s="20"/>
      <c r="X672" s="20"/>
      <c r="Y672" s="20"/>
      <c r="Z672" s="20"/>
      <c r="AA672" s="20"/>
    </row>
    <row r="673" spans="1:27" ht="12.75" x14ac:dyDescent="0.2">
      <c r="A673" s="20"/>
      <c r="R673" s="20"/>
      <c r="S673" s="20"/>
      <c r="T673" s="20"/>
      <c r="U673" s="20"/>
      <c r="V673" s="20"/>
      <c r="W673" s="20"/>
      <c r="X673" s="20"/>
      <c r="Y673" s="20"/>
      <c r="Z673" s="20"/>
      <c r="AA673" s="20"/>
    </row>
    <row r="674" spans="1:27" ht="12.75" x14ac:dyDescent="0.2">
      <c r="A674" s="20"/>
      <c r="R674" s="20"/>
      <c r="S674" s="20"/>
      <c r="T674" s="20"/>
      <c r="U674" s="20"/>
      <c r="V674" s="20"/>
      <c r="W674" s="20"/>
      <c r="X674" s="20"/>
      <c r="Y674" s="20"/>
      <c r="Z674" s="20"/>
      <c r="AA674" s="20"/>
    </row>
    <row r="675" spans="1:27" ht="12.75" x14ac:dyDescent="0.2">
      <c r="A675" s="20"/>
      <c r="R675" s="20"/>
      <c r="S675" s="20"/>
      <c r="T675" s="20"/>
      <c r="U675" s="20"/>
      <c r="V675" s="20"/>
      <c r="W675" s="20"/>
      <c r="X675" s="20"/>
      <c r="Y675" s="20"/>
      <c r="Z675" s="20"/>
      <c r="AA675" s="20"/>
    </row>
    <row r="676" spans="1:27" ht="12.75" x14ac:dyDescent="0.2">
      <c r="A676" s="20"/>
      <c r="R676" s="20"/>
      <c r="S676" s="20"/>
      <c r="T676" s="20"/>
      <c r="U676" s="20"/>
      <c r="V676" s="20"/>
      <c r="W676" s="20"/>
      <c r="X676" s="20"/>
      <c r="Y676" s="20"/>
      <c r="Z676" s="20"/>
      <c r="AA676" s="20"/>
    </row>
    <row r="677" spans="1:27" ht="12.75" x14ac:dyDescent="0.2">
      <c r="A677" s="20"/>
      <c r="R677" s="20"/>
      <c r="S677" s="20"/>
      <c r="T677" s="20"/>
      <c r="U677" s="20"/>
      <c r="V677" s="20"/>
      <c r="W677" s="20"/>
      <c r="X677" s="20"/>
      <c r="Y677" s="20"/>
      <c r="Z677" s="20"/>
      <c r="AA677" s="20"/>
    </row>
    <row r="678" spans="1:27" ht="12.75" x14ac:dyDescent="0.2">
      <c r="A678" s="20"/>
      <c r="R678" s="20"/>
      <c r="S678" s="20"/>
      <c r="T678" s="20"/>
      <c r="U678" s="20"/>
      <c r="V678" s="20"/>
      <c r="W678" s="20"/>
      <c r="X678" s="20"/>
      <c r="Y678" s="20"/>
      <c r="Z678" s="20"/>
      <c r="AA678" s="20"/>
    </row>
    <row r="679" spans="1:27" ht="12.75" x14ac:dyDescent="0.2">
      <c r="A679" s="20"/>
      <c r="R679" s="20"/>
      <c r="S679" s="20"/>
      <c r="T679" s="20"/>
      <c r="U679" s="20"/>
      <c r="V679" s="20"/>
      <c r="W679" s="20"/>
      <c r="X679" s="20"/>
      <c r="Y679" s="20"/>
      <c r="Z679" s="20"/>
      <c r="AA679" s="20"/>
    </row>
    <row r="680" spans="1:27" ht="12.75" x14ac:dyDescent="0.2">
      <c r="A680" s="20"/>
      <c r="R680" s="20"/>
      <c r="S680" s="20"/>
      <c r="T680" s="20"/>
      <c r="U680" s="20"/>
      <c r="V680" s="20"/>
      <c r="W680" s="20"/>
      <c r="X680" s="20"/>
      <c r="Y680" s="20"/>
      <c r="Z680" s="20"/>
      <c r="AA680" s="20"/>
    </row>
    <row r="681" spans="1:27" ht="12.75" x14ac:dyDescent="0.2">
      <c r="A681" s="20"/>
      <c r="R681" s="20"/>
      <c r="S681" s="20"/>
      <c r="T681" s="20"/>
      <c r="U681" s="20"/>
      <c r="V681" s="20"/>
      <c r="W681" s="20"/>
      <c r="X681" s="20"/>
      <c r="Y681" s="20"/>
      <c r="Z681" s="20"/>
      <c r="AA681" s="20"/>
    </row>
    <row r="682" spans="1:27" ht="12.75" x14ac:dyDescent="0.2">
      <c r="A682" s="20"/>
      <c r="R682" s="20"/>
      <c r="S682" s="20"/>
      <c r="T682" s="20"/>
      <c r="U682" s="20"/>
      <c r="V682" s="20"/>
      <c r="W682" s="20"/>
      <c r="X682" s="20"/>
      <c r="Y682" s="20"/>
      <c r="Z682" s="20"/>
      <c r="AA682" s="20"/>
    </row>
    <row r="683" spans="1:27" ht="12.75" x14ac:dyDescent="0.2">
      <c r="A683" s="20"/>
      <c r="R683" s="20"/>
      <c r="S683" s="20"/>
      <c r="T683" s="20"/>
      <c r="U683" s="20"/>
      <c r="V683" s="20"/>
      <c r="W683" s="20"/>
      <c r="X683" s="20"/>
      <c r="Y683" s="20"/>
      <c r="Z683" s="20"/>
      <c r="AA683" s="20"/>
    </row>
    <row r="684" spans="1:27" ht="12.75" x14ac:dyDescent="0.2">
      <c r="A684" s="20"/>
      <c r="R684" s="20"/>
      <c r="S684" s="20"/>
      <c r="T684" s="20"/>
      <c r="U684" s="20"/>
      <c r="V684" s="20"/>
      <c r="W684" s="20"/>
      <c r="X684" s="20"/>
      <c r="Y684" s="20"/>
      <c r="Z684" s="20"/>
      <c r="AA684" s="20"/>
    </row>
    <row r="685" spans="1:27" ht="12.75" x14ac:dyDescent="0.2">
      <c r="A685" s="20"/>
      <c r="R685" s="20"/>
      <c r="S685" s="20"/>
      <c r="T685" s="20"/>
      <c r="U685" s="20"/>
      <c r="V685" s="20"/>
      <c r="W685" s="20"/>
      <c r="X685" s="20"/>
      <c r="Y685" s="20"/>
      <c r="Z685" s="20"/>
      <c r="AA685" s="20"/>
    </row>
    <row r="686" spans="1:27" ht="12.75" x14ac:dyDescent="0.2">
      <c r="A686" s="20"/>
      <c r="R686" s="20"/>
      <c r="S686" s="20"/>
      <c r="T686" s="20"/>
      <c r="U686" s="20"/>
      <c r="V686" s="20"/>
      <c r="W686" s="20"/>
      <c r="X686" s="20"/>
      <c r="Y686" s="20"/>
      <c r="Z686" s="20"/>
      <c r="AA686" s="20"/>
    </row>
    <row r="687" spans="1:27" ht="12.75" x14ac:dyDescent="0.2">
      <c r="A687" s="20"/>
      <c r="R687" s="20"/>
      <c r="S687" s="20"/>
      <c r="T687" s="20"/>
      <c r="U687" s="20"/>
      <c r="V687" s="20"/>
      <c r="W687" s="20"/>
      <c r="X687" s="20"/>
      <c r="Y687" s="20"/>
      <c r="Z687" s="20"/>
      <c r="AA687" s="20"/>
    </row>
    <row r="688" spans="1:27" ht="12.75" x14ac:dyDescent="0.2">
      <c r="A688" s="20"/>
      <c r="R688" s="20"/>
      <c r="S688" s="20"/>
      <c r="T688" s="20"/>
      <c r="U688" s="20"/>
      <c r="V688" s="20"/>
      <c r="W688" s="20"/>
      <c r="X688" s="20"/>
      <c r="Y688" s="20"/>
      <c r="Z688" s="20"/>
      <c r="AA688" s="20"/>
    </row>
    <row r="689" spans="1:27" ht="12.75" x14ac:dyDescent="0.2">
      <c r="A689" s="20"/>
      <c r="R689" s="20"/>
      <c r="S689" s="20"/>
      <c r="T689" s="20"/>
      <c r="U689" s="20"/>
      <c r="V689" s="20"/>
      <c r="W689" s="20"/>
      <c r="X689" s="20"/>
      <c r="Y689" s="20"/>
      <c r="Z689" s="20"/>
      <c r="AA689" s="20"/>
    </row>
    <row r="690" spans="1:27" ht="12.75" x14ac:dyDescent="0.2">
      <c r="A690" s="20"/>
      <c r="R690" s="20"/>
      <c r="S690" s="20"/>
      <c r="T690" s="20"/>
      <c r="U690" s="20"/>
      <c r="V690" s="20"/>
      <c r="W690" s="20"/>
      <c r="X690" s="20"/>
      <c r="Y690" s="20"/>
      <c r="Z690" s="20"/>
      <c r="AA690" s="20"/>
    </row>
    <row r="691" spans="1:27" ht="12.75" x14ac:dyDescent="0.2">
      <c r="A691" s="20"/>
      <c r="R691" s="20"/>
      <c r="S691" s="20"/>
      <c r="T691" s="20"/>
      <c r="U691" s="20"/>
      <c r="V691" s="20"/>
      <c r="W691" s="20"/>
      <c r="X691" s="20"/>
      <c r="Y691" s="20"/>
      <c r="Z691" s="20"/>
      <c r="AA691" s="20"/>
    </row>
    <row r="692" spans="1:27" ht="12.75" x14ac:dyDescent="0.2">
      <c r="A692" s="20"/>
      <c r="R692" s="20"/>
      <c r="S692" s="20"/>
      <c r="T692" s="20"/>
      <c r="U692" s="20"/>
      <c r="V692" s="20"/>
      <c r="W692" s="20"/>
      <c r="X692" s="20"/>
      <c r="Y692" s="20"/>
      <c r="Z692" s="20"/>
      <c r="AA692" s="20"/>
    </row>
    <row r="693" spans="1:27" ht="12.75" x14ac:dyDescent="0.2">
      <c r="A693" s="20"/>
      <c r="R693" s="20"/>
      <c r="S693" s="20"/>
      <c r="T693" s="20"/>
      <c r="U693" s="20"/>
      <c r="V693" s="20"/>
      <c r="W693" s="20"/>
      <c r="X693" s="20"/>
      <c r="Y693" s="20"/>
      <c r="Z693" s="20"/>
      <c r="AA693" s="20"/>
    </row>
    <row r="694" spans="1:27" ht="12.75" x14ac:dyDescent="0.2">
      <c r="A694" s="20"/>
      <c r="R694" s="20"/>
      <c r="S694" s="20"/>
      <c r="T694" s="20"/>
      <c r="U694" s="20"/>
      <c r="V694" s="20"/>
      <c r="W694" s="20"/>
      <c r="X694" s="20"/>
      <c r="Y694" s="20"/>
      <c r="Z694" s="20"/>
      <c r="AA694" s="20"/>
    </row>
    <row r="695" spans="1:27" ht="12.75" x14ac:dyDescent="0.2">
      <c r="A695" s="20"/>
      <c r="R695" s="20"/>
      <c r="S695" s="20"/>
      <c r="T695" s="20"/>
      <c r="U695" s="20"/>
      <c r="V695" s="20"/>
      <c r="W695" s="20"/>
      <c r="X695" s="20"/>
      <c r="Y695" s="20"/>
      <c r="Z695" s="20"/>
      <c r="AA695" s="20"/>
    </row>
    <row r="696" spans="1:27" ht="12.75" x14ac:dyDescent="0.2">
      <c r="A696" s="20"/>
      <c r="R696" s="20"/>
      <c r="S696" s="20"/>
      <c r="T696" s="20"/>
      <c r="U696" s="20"/>
      <c r="V696" s="20"/>
      <c r="W696" s="20"/>
      <c r="X696" s="20"/>
      <c r="Y696" s="20"/>
      <c r="Z696" s="20"/>
      <c r="AA696" s="20"/>
    </row>
    <row r="697" spans="1:27" ht="12.75" x14ac:dyDescent="0.2">
      <c r="A697" s="20"/>
      <c r="R697" s="20"/>
      <c r="S697" s="20"/>
      <c r="T697" s="20"/>
      <c r="U697" s="20"/>
      <c r="V697" s="20"/>
      <c r="W697" s="20"/>
      <c r="X697" s="20"/>
      <c r="Y697" s="20"/>
      <c r="Z697" s="20"/>
      <c r="AA697" s="20"/>
    </row>
    <row r="698" spans="1:27" ht="12.75" x14ac:dyDescent="0.2">
      <c r="A698" s="20"/>
      <c r="R698" s="20"/>
      <c r="S698" s="20"/>
      <c r="T698" s="20"/>
      <c r="U698" s="20"/>
      <c r="V698" s="20"/>
      <c r="W698" s="20"/>
      <c r="X698" s="20"/>
      <c r="Y698" s="20"/>
      <c r="Z698" s="20"/>
      <c r="AA698" s="20"/>
    </row>
    <row r="699" spans="1:27" ht="12.75" x14ac:dyDescent="0.2">
      <c r="A699" s="20"/>
      <c r="R699" s="20"/>
      <c r="S699" s="20"/>
      <c r="T699" s="20"/>
      <c r="U699" s="20"/>
      <c r="V699" s="20"/>
      <c r="W699" s="20"/>
      <c r="X699" s="20"/>
      <c r="Y699" s="20"/>
      <c r="Z699" s="20"/>
      <c r="AA699" s="20"/>
    </row>
    <row r="700" spans="1:27" ht="12.75" x14ac:dyDescent="0.2">
      <c r="A700" s="20"/>
      <c r="R700" s="20"/>
      <c r="S700" s="20"/>
      <c r="T700" s="20"/>
      <c r="U700" s="20"/>
      <c r="V700" s="20"/>
      <c r="W700" s="20"/>
      <c r="X700" s="20"/>
      <c r="Y700" s="20"/>
      <c r="Z700" s="20"/>
      <c r="AA700" s="20"/>
    </row>
    <row r="701" spans="1:27" ht="12.75" x14ac:dyDescent="0.2">
      <c r="A701" s="20"/>
      <c r="R701" s="20"/>
      <c r="S701" s="20"/>
      <c r="T701" s="20"/>
      <c r="U701" s="20"/>
      <c r="V701" s="20"/>
      <c r="W701" s="20"/>
      <c r="X701" s="20"/>
      <c r="Y701" s="20"/>
      <c r="Z701" s="20"/>
      <c r="AA701" s="20"/>
    </row>
    <row r="702" spans="1:27" ht="12.75" x14ac:dyDescent="0.2">
      <c r="A702" s="20"/>
      <c r="R702" s="20"/>
      <c r="S702" s="20"/>
      <c r="T702" s="20"/>
      <c r="U702" s="20"/>
      <c r="V702" s="20"/>
      <c r="W702" s="20"/>
      <c r="X702" s="20"/>
      <c r="Y702" s="20"/>
      <c r="Z702" s="20"/>
      <c r="AA702" s="20"/>
    </row>
    <row r="703" spans="1:27" ht="12.75" x14ac:dyDescent="0.2">
      <c r="A703" s="20"/>
      <c r="R703" s="20"/>
      <c r="S703" s="20"/>
      <c r="T703" s="20"/>
      <c r="U703" s="20"/>
      <c r="V703" s="20"/>
      <c r="W703" s="20"/>
      <c r="X703" s="20"/>
      <c r="Y703" s="20"/>
      <c r="Z703" s="20"/>
      <c r="AA703" s="20"/>
    </row>
    <row r="704" spans="1:27" ht="12.75" x14ac:dyDescent="0.2">
      <c r="A704" s="20"/>
      <c r="R704" s="20"/>
      <c r="S704" s="20"/>
      <c r="T704" s="20"/>
      <c r="U704" s="20"/>
      <c r="V704" s="20"/>
      <c r="W704" s="20"/>
      <c r="X704" s="20"/>
      <c r="Y704" s="20"/>
      <c r="Z704" s="20"/>
      <c r="AA704" s="20"/>
    </row>
    <row r="705" spans="1:27" ht="12.75" x14ac:dyDescent="0.2">
      <c r="A705" s="20"/>
      <c r="R705" s="20"/>
      <c r="S705" s="20"/>
      <c r="T705" s="20"/>
      <c r="U705" s="20"/>
      <c r="V705" s="20"/>
      <c r="W705" s="20"/>
      <c r="X705" s="20"/>
      <c r="Y705" s="20"/>
      <c r="Z705" s="20"/>
      <c r="AA705" s="20"/>
    </row>
    <row r="706" spans="1:27" ht="12.75" x14ac:dyDescent="0.2">
      <c r="A706" s="20"/>
      <c r="R706" s="20"/>
      <c r="S706" s="20"/>
      <c r="T706" s="20"/>
      <c r="U706" s="20"/>
      <c r="V706" s="20"/>
      <c r="W706" s="20"/>
      <c r="X706" s="20"/>
      <c r="Y706" s="20"/>
      <c r="Z706" s="20"/>
      <c r="AA706" s="20"/>
    </row>
    <row r="707" spans="1:27" ht="12.75" x14ac:dyDescent="0.2">
      <c r="A707" s="20"/>
      <c r="R707" s="20"/>
      <c r="S707" s="20"/>
      <c r="T707" s="20"/>
      <c r="U707" s="20"/>
      <c r="V707" s="20"/>
      <c r="W707" s="20"/>
      <c r="X707" s="20"/>
      <c r="Y707" s="20"/>
      <c r="Z707" s="20"/>
      <c r="AA707" s="20"/>
    </row>
    <row r="708" spans="1:27" ht="12.75" x14ac:dyDescent="0.2">
      <c r="A708" s="20"/>
      <c r="R708" s="20"/>
      <c r="S708" s="20"/>
      <c r="T708" s="20"/>
      <c r="U708" s="20"/>
      <c r="V708" s="20"/>
      <c r="W708" s="20"/>
      <c r="X708" s="20"/>
      <c r="Y708" s="20"/>
      <c r="Z708" s="20"/>
      <c r="AA708" s="20"/>
    </row>
    <row r="709" spans="1:27" ht="12.75" x14ac:dyDescent="0.2">
      <c r="A709" s="20"/>
      <c r="R709" s="20"/>
      <c r="S709" s="20"/>
      <c r="T709" s="20"/>
      <c r="U709" s="20"/>
      <c r="V709" s="20"/>
      <c r="W709" s="20"/>
      <c r="X709" s="20"/>
      <c r="Y709" s="20"/>
      <c r="Z709" s="20"/>
      <c r="AA709" s="20"/>
    </row>
    <row r="710" spans="1:27" ht="12.75" x14ac:dyDescent="0.2">
      <c r="A710" s="20"/>
      <c r="R710" s="20"/>
      <c r="S710" s="20"/>
      <c r="T710" s="20"/>
      <c r="U710" s="20"/>
      <c r="V710" s="20"/>
      <c r="W710" s="20"/>
      <c r="X710" s="20"/>
      <c r="Y710" s="20"/>
      <c r="Z710" s="20"/>
      <c r="AA710" s="20"/>
    </row>
    <row r="711" spans="1:27" ht="12.75" x14ac:dyDescent="0.2">
      <c r="A711" s="20"/>
      <c r="R711" s="20"/>
      <c r="S711" s="20"/>
      <c r="T711" s="20"/>
      <c r="U711" s="20"/>
      <c r="V711" s="20"/>
      <c r="W711" s="20"/>
      <c r="X711" s="20"/>
      <c r="Y711" s="20"/>
      <c r="Z711" s="20"/>
      <c r="AA711" s="20"/>
    </row>
    <row r="712" spans="1:27" ht="12.75" x14ac:dyDescent="0.2">
      <c r="A712" s="20"/>
      <c r="R712" s="20"/>
      <c r="S712" s="20"/>
      <c r="T712" s="20"/>
      <c r="U712" s="20"/>
      <c r="V712" s="20"/>
      <c r="W712" s="20"/>
      <c r="X712" s="20"/>
      <c r="Y712" s="20"/>
      <c r="Z712" s="20"/>
      <c r="AA712" s="20"/>
    </row>
    <row r="713" spans="1:27" ht="12.75" x14ac:dyDescent="0.2">
      <c r="A713" s="20"/>
      <c r="R713" s="20"/>
      <c r="S713" s="20"/>
      <c r="T713" s="20"/>
      <c r="U713" s="20"/>
      <c r="V713" s="20"/>
      <c r="W713" s="20"/>
      <c r="X713" s="20"/>
      <c r="Y713" s="20"/>
      <c r="Z713" s="20"/>
      <c r="AA713" s="20"/>
    </row>
    <row r="714" spans="1:27" ht="12.75" x14ac:dyDescent="0.2">
      <c r="A714" s="20"/>
      <c r="R714" s="20"/>
      <c r="S714" s="20"/>
      <c r="T714" s="20"/>
      <c r="U714" s="20"/>
      <c r="V714" s="20"/>
      <c r="W714" s="20"/>
      <c r="X714" s="20"/>
      <c r="Y714" s="20"/>
      <c r="Z714" s="20"/>
      <c r="AA714" s="20"/>
    </row>
    <row r="715" spans="1:27" ht="12.75" x14ac:dyDescent="0.2">
      <c r="A715" s="20"/>
      <c r="R715" s="20"/>
      <c r="S715" s="20"/>
      <c r="T715" s="20"/>
      <c r="U715" s="20"/>
      <c r="V715" s="20"/>
      <c r="W715" s="20"/>
      <c r="X715" s="20"/>
      <c r="Y715" s="20"/>
      <c r="Z715" s="20"/>
      <c r="AA715" s="20"/>
    </row>
    <row r="716" spans="1:27" ht="12.75" x14ac:dyDescent="0.2">
      <c r="A716" s="20"/>
      <c r="R716" s="20"/>
      <c r="S716" s="20"/>
      <c r="T716" s="20"/>
      <c r="U716" s="20"/>
      <c r="V716" s="20"/>
      <c r="W716" s="20"/>
      <c r="X716" s="20"/>
      <c r="Y716" s="20"/>
      <c r="Z716" s="20"/>
      <c r="AA716" s="20"/>
    </row>
    <row r="717" spans="1:27" ht="12.75" x14ac:dyDescent="0.2">
      <c r="A717" s="20"/>
      <c r="R717" s="20"/>
      <c r="S717" s="20"/>
      <c r="T717" s="20"/>
      <c r="U717" s="20"/>
      <c r="V717" s="20"/>
      <c r="W717" s="20"/>
      <c r="X717" s="20"/>
      <c r="Y717" s="20"/>
      <c r="Z717" s="20"/>
      <c r="AA717" s="20"/>
    </row>
    <row r="718" spans="1:27" ht="12.75" x14ac:dyDescent="0.2">
      <c r="A718" s="20"/>
      <c r="R718" s="20"/>
      <c r="S718" s="20"/>
      <c r="T718" s="20"/>
      <c r="U718" s="20"/>
      <c r="V718" s="20"/>
      <c r="W718" s="20"/>
      <c r="X718" s="20"/>
      <c r="Y718" s="20"/>
      <c r="Z718" s="20"/>
      <c r="AA718" s="20"/>
    </row>
    <row r="719" spans="1:27" ht="12.75" x14ac:dyDescent="0.2">
      <c r="A719" s="20"/>
      <c r="R719" s="20"/>
      <c r="S719" s="20"/>
      <c r="T719" s="20"/>
      <c r="U719" s="20"/>
      <c r="V719" s="20"/>
      <c r="W719" s="20"/>
      <c r="X719" s="20"/>
      <c r="Y719" s="20"/>
      <c r="Z719" s="20"/>
      <c r="AA719" s="20"/>
    </row>
    <row r="720" spans="1:27" ht="12.75" x14ac:dyDescent="0.2">
      <c r="A720" s="20"/>
      <c r="R720" s="20"/>
      <c r="S720" s="20"/>
      <c r="T720" s="20"/>
      <c r="U720" s="20"/>
      <c r="V720" s="20"/>
      <c r="W720" s="20"/>
      <c r="X720" s="20"/>
      <c r="Y720" s="20"/>
      <c r="Z720" s="20"/>
      <c r="AA720" s="20"/>
    </row>
    <row r="721" spans="1:27" ht="12.75" x14ac:dyDescent="0.2">
      <c r="A721" s="20"/>
      <c r="R721" s="20"/>
      <c r="S721" s="20"/>
      <c r="T721" s="20"/>
      <c r="U721" s="20"/>
      <c r="V721" s="20"/>
      <c r="W721" s="20"/>
      <c r="X721" s="20"/>
      <c r="Y721" s="20"/>
      <c r="Z721" s="20"/>
      <c r="AA721" s="20"/>
    </row>
    <row r="722" spans="1:27" ht="12.75" x14ac:dyDescent="0.2">
      <c r="A722" s="20"/>
      <c r="R722" s="20"/>
      <c r="S722" s="20"/>
      <c r="T722" s="20"/>
      <c r="U722" s="20"/>
      <c r="V722" s="20"/>
      <c r="W722" s="20"/>
      <c r="X722" s="20"/>
      <c r="Y722" s="20"/>
      <c r="Z722" s="20"/>
      <c r="AA722" s="20"/>
    </row>
    <row r="723" spans="1:27" ht="12.75" x14ac:dyDescent="0.2">
      <c r="A723" s="20"/>
      <c r="R723" s="20"/>
      <c r="S723" s="20"/>
      <c r="T723" s="20"/>
      <c r="U723" s="20"/>
      <c r="V723" s="20"/>
      <c r="W723" s="20"/>
      <c r="X723" s="20"/>
      <c r="Y723" s="20"/>
      <c r="Z723" s="20"/>
      <c r="AA723" s="20"/>
    </row>
    <row r="724" spans="1:27" ht="12.75" x14ac:dyDescent="0.2">
      <c r="A724" s="20"/>
      <c r="R724" s="20"/>
      <c r="S724" s="20"/>
      <c r="T724" s="20"/>
      <c r="U724" s="20"/>
      <c r="V724" s="20"/>
      <c r="W724" s="20"/>
      <c r="X724" s="20"/>
      <c r="Y724" s="20"/>
      <c r="Z724" s="20"/>
      <c r="AA724" s="20"/>
    </row>
    <row r="725" spans="1:27" ht="12.75" x14ac:dyDescent="0.2">
      <c r="A725" s="20"/>
      <c r="R725" s="20"/>
      <c r="S725" s="20"/>
      <c r="T725" s="20"/>
      <c r="U725" s="20"/>
      <c r="V725" s="20"/>
      <c r="W725" s="20"/>
      <c r="X725" s="20"/>
      <c r="Y725" s="20"/>
      <c r="Z725" s="20"/>
      <c r="AA725" s="20"/>
    </row>
    <row r="726" spans="1:27" ht="12.75" x14ac:dyDescent="0.2">
      <c r="A726" s="20"/>
      <c r="R726" s="20"/>
      <c r="S726" s="20"/>
      <c r="T726" s="20"/>
      <c r="U726" s="20"/>
      <c r="V726" s="20"/>
      <c r="W726" s="20"/>
      <c r="X726" s="20"/>
      <c r="Y726" s="20"/>
      <c r="Z726" s="20"/>
      <c r="AA726" s="20"/>
    </row>
    <row r="727" spans="1:27" ht="12.75" x14ac:dyDescent="0.2">
      <c r="A727" s="20"/>
      <c r="R727" s="20"/>
      <c r="S727" s="20"/>
      <c r="T727" s="20"/>
      <c r="U727" s="20"/>
      <c r="V727" s="20"/>
      <c r="W727" s="20"/>
      <c r="X727" s="20"/>
      <c r="Y727" s="20"/>
      <c r="Z727" s="20"/>
      <c r="AA727" s="20"/>
    </row>
    <row r="728" spans="1:27" ht="12.75" x14ac:dyDescent="0.2">
      <c r="A728" s="20"/>
      <c r="R728" s="20"/>
      <c r="S728" s="20"/>
      <c r="T728" s="20"/>
      <c r="U728" s="20"/>
      <c r="V728" s="20"/>
      <c r="W728" s="20"/>
      <c r="X728" s="20"/>
      <c r="Y728" s="20"/>
      <c r="Z728" s="20"/>
      <c r="AA728" s="20"/>
    </row>
    <row r="729" spans="1:27" ht="12.75" x14ac:dyDescent="0.2">
      <c r="A729" s="20"/>
      <c r="R729" s="20"/>
      <c r="S729" s="20"/>
      <c r="T729" s="20"/>
      <c r="U729" s="20"/>
      <c r="V729" s="20"/>
      <c r="W729" s="20"/>
      <c r="X729" s="20"/>
      <c r="Y729" s="20"/>
      <c r="Z729" s="20"/>
      <c r="AA729" s="20"/>
    </row>
    <row r="730" spans="1:27" ht="12.75" x14ac:dyDescent="0.2">
      <c r="A730" s="20"/>
      <c r="R730" s="20"/>
      <c r="S730" s="20"/>
      <c r="T730" s="20"/>
      <c r="U730" s="20"/>
      <c r="V730" s="20"/>
      <c r="W730" s="20"/>
      <c r="X730" s="20"/>
      <c r="Y730" s="20"/>
      <c r="Z730" s="20"/>
      <c r="AA730" s="20"/>
    </row>
    <row r="731" spans="1:27" ht="12.75" x14ac:dyDescent="0.2">
      <c r="A731" s="20"/>
      <c r="R731" s="20"/>
      <c r="S731" s="20"/>
      <c r="T731" s="20"/>
      <c r="U731" s="20"/>
      <c r="V731" s="20"/>
      <c r="W731" s="20"/>
      <c r="X731" s="20"/>
      <c r="Y731" s="20"/>
      <c r="Z731" s="20"/>
      <c r="AA731" s="20"/>
    </row>
    <row r="732" spans="1:27" ht="12.75" x14ac:dyDescent="0.2">
      <c r="A732" s="20"/>
      <c r="R732" s="20"/>
      <c r="S732" s="20"/>
      <c r="T732" s="20"/>
      <c r="U732" s="20"/>
      <c r="V732" s="20"/>
      <c r="W732" s="20"/>
      <c r="X732" s="20"/>
      <c r="Y732" s="20"/>
      <c r="Z732" s="20"/>
      <c r="AA732" s="20"/>
    </row>
    <row r="733" spans="1:27" ht="12.75" x14ac:dyDescent="0.2">
      <c r="A733" s="20"/>
      <c r="R733" s="20"/>
      <c r="S733" s="20"/>
      <c r="T733" s="20"/>
      <c r="U733" s="20"/>
      <c r="V733" s="20"/>
      <c r="W733" s="20"/>
      <c r="X733" s="20"/>
      <c r="Y733" s="20"/>
      <c r="Z733" s="20"/>
      <c r="AA733" s="20"/>
    </row>
    <row r="734" spans="1:27" ht="12.75" x14ac:dyDescent="0.2">
      <c r="A734" s="20"/>
      <c r="R734" s="20"/>
      <c r="S734" s="20"/>
      <c r="T734" s="20"/>
      <c r="U734" s="20"/>
      <c r="V734" s="20"/>
      <c r="W734" s="20"/>
      <c r="X734" s="20"/>
      <c r="Y734" s="20"/>
      <c r="Z734" s="20"/>
      <c r="AA734" s="20"/>
    </row>
    <row r="735" spans="1:27" ht="12.75" x14ac:dyDescent="0.2">
      <c r="A735" s="20"/>
      <c r="R735" s="20"/>
      <c r="S735" s="20"/>
      <c r="T735" s="20"/>
      <c r="U735" s="20"/>
      <c r="V735" s="20"/>
      <c r="W735" s="20"/>
      <c r="X735" s="20"/>
      <c r="Y735" s="20"/>
      <c r="Z735" s="20"/>
      <c r="AA735" s="20"/>
    </row>
    <row r="736" spans="1:27" ht="12.75" x14ac:dyDescent="0.2">
      <c r="A736" s="20"/>
      <c r="R736" s="20"/>
      <c r="S736" s="20"/>
      <c r="T736" s="20"/>
      <c r="U736" s="20"/>
      <c r="V736" s="20"/>
      <c r="W736" s="20"/>
      <c r="X736" s="20"/>
      <c r="Y736" s="20"/>
      <c r="Z736" s="20"/>
      <c r="AA736" s="20"/>
    </row>
    <row r="737" spans="1:27" ht="12.75" x14ac:dyDescent="0.2">
      <c r="A737" s="20"/>
      <c r="R737" s="20"/>
      <c r="S737" s="20"/>
      <c r="T737" s="20"/>
      <c r="U737" s="20"/>
      <c r="V737" s="20"/>
      <c r="W737" s="20"/>
      <c r="X737" s="20"/>
      <c r="Y737" s="20"/>
      <c r="Z737" s="20"/>
      <c r="AA737" s="20"/>
    </row>
    <row r="738" spans="1:27" ht="12.75" x14ac:dyDescent="0.2">
      <c r="A738" s="20"/>
      <c r="R738" s="20"/>
      <c r="S738" s="20"/>
      <c r="T738" s="20"/>
      <c r="U738" s="20"/>
      <c r="V738" s="20"/>
      <c r="W738" s="20"/>
      <c r="X738" s="20"/>
      <c r="Y738" s="20"/>
      <c r="Z738" s="20"/>
      <c r="AA738" s="20"/>
    </row>
    <row r="739" spans="1:27" ht="12.75" x14ac:dyDescent="0.2">
      <c r="A739" s="20"/>
      <c r="R739" s="20"/>
      <c r="S739" s="20"/>
      <c r="T739" s="20"/>
      <c r="U739" s="20"/>
      <c r="V739" s="20"/>
      <c r="W739" s="20"/>
      <c r="X739" s="20"/>
      <c r="Y739" s="20"/>
      <c r="Z739" s="20"/>
      <c r="AA739" s="20"/>
    </row>
    <row r="740" spans="1:27" ht="12.75" x14ac:dyDescent="0.2">
      <c r="A740" s="20"/>
      <c r="R740" s="20"/>
      <c r="S740" s="20"/>
      <c r="T740" s="20"/>
      <c r="U740" s="20"/>
      <c r="V740" s="20"/>
      <c r="W740" s="20"/>
      <c r="X740" s="20"/>
      <c r="Y740" s="20"/>
      <c r="Z740" s="20"/>
      <c r="AA740" s="20"/>
    </row>
    <row r="741" spans="1:27" ht="12.75" x14ac:dyDescent="0.2">
      <c r="A741" s="20"/>
      <c r="R741" s="20"/>
      <c r="S741" s="20"/>
      <c r="T741" s="20"/>
      <c r="U741" s="20"/>
      <c r="V741" s="20"/>
      <c r="W741" s="20"/>
      <c r="X741" s="20"/>
      <c r="Y741" s="20"/>
      <c r="Z741" s="20"/>
      <c r="AA741" s="20"/>
    </row>
    <row r="742" spans="1:27" ht="12.75" x14ac:dyDescent="0.2">
      <c r="A742" s="20"/>
      <c r="R742" s="20"/>
      <c r="S742" s="20"/>
      <c r="T742" s="20"/>
      <c r="U742" s="20"/>
      <c r="V742" s="20"/>
      <c r="W742" s="20"/>
      <c r="X742" s="20"/>
      <c r="Y742" s="20"/>
      <c r="Z742" s="20"/>
      <c r="AA742" s="20"/>
    </row>
    <row r="743" spans="1:27" ht="12.75" x14ac:dyDescent="0.2">
      <c r="A743" s="20"/>
      <c r="R743" s="20"/>
      <c r="S743" s="20"/>
      <c r="T743" s="20"/>
      <c r="U743" s="20"/>
      <c r="V743" s="20"/>
      <c r="W743" s="20"/>
      <c r="X743" s="20"/>
      <c r="Y743" s="20"/>
      <c r="Z743" s="20"/>
      <c r="AA743" s="20"/>
    </row>
    <row r="744" spans="1:27" ht="12.75" x14ac:dyDescent="0.2">
      <c r="A744" s="20"/>
      <c r="R744" s="20"/>
      <c r="S744" s="20"/>
      <c r="T744" s="20"/>
      <c r="U744" s="20"/>
      <c r="V744" s="20"/>
      <c r="W744" s="20"/>
      <c r="X744" s="20"/>
      <c r="Y744" s="20"/>
      <c r="Z744" s="20"/>
      <c r="AA744" s="20"/>
    </row>
    <row r="745" spans="1:27" ht="12.75" x14ac:dyDescent="0.2">
      <c r="A745" s="20"/>
      <c r="R745" s="20"/>
      <c r="S745" s="20"/>
      <c r="T745" s="20"/>
      <c r="U745" s="20"/>
      <c r="V745" s="20"/>
      <c r="W745" s="20"/>
      <c r="X745" s="20"/>
      <c r="Y745" s="20"/>
      <c r="Z745" s="20"/>
      <c r="AA745" s="20"/>
    </row>
    <row r="746" spans="1:27" ht="12.75" x14ac:dyDescent="0.2">
      <c r="A746" s="20"/>
      <c r="R746" s="20"/>
      <c r="S746" s="20"/>
      <c r="T746" s="20"/>
      <c r="U746" s="20"/>
      <c r="V746" s="20"/>
      <c r="W746" s="20"/>
      <c r="X746" s="20"/>
      <c r="Y746" s="20"/>
      <c r="Z746" s="20"/>
      <c r="AA746" s="20"/>
    </row>
    <row r="747" spans="1:27" ht="12.75" x14ac:dyDescent="0.2">
      <c r="A747" s="20"/>
      <c r="R747" s="20"/>
      <c r="S747" s="20"/>
      <c r="T747" s="20"/>
      <c r="U747" s="20"/>
      <c r="V747" s="20"/>
      <c r="W747" s="20"/>
      <c r="X747" s="20"/>
      <c r="Y747" s="20"/>
      <c r="Z747" s="20"/>
      <c r="AA747" s="20"/>
    </row>
    <row r="748" spans="1:27" ht="12.75" x14ac:dyDescent="0.2">
      <c r="A748" s="20"/>
      <c r="R748" s="20"/>
      <c r="S748" s="20"/>
      <c r="T748" s="20"/>
      <c r="U748" s="20"/>
      <c r="V748" s="20"/>
      <c r="W748" s="20"/>
      <c r="X748" s="20"/>
      <c r="Y748" s="20"/>
      <c r="Z748" s="20"/>
      <c r="AA748" s="20"/>
    </row>
    <row r="749" spans="1:27" ht="12.75" x14ac:dyDescent="0.2">
      <c r="A749" s="20"/>
      <c r="R749" s="20"/>
      <c r="S749" s="20"/>
      <c r="T749" s="20"/>
      <c r="U749" s="20"/>
      <c r="V749" s="20"/>
      <c r="W749" s="20"/>
      <c r="X749" s="20"/>
      <c r="Y749" s="20"/>
      <c r="Z749" s="20"/>
      <c r="AA749" s="20"/>
    </row>
    <row r="750" spans="1:27" ht="12.75" x14ac:dyDescent="0.2">
      <c r="A750" s="20"/>
      <c r="R750" s="20"/>
      <c r="S750" s="20"/>
      <c r="T750" s="20"/>
      <c r="U750" s="20"/>
      <c r="V750" s="20"/>
      <c r="W750" s="20"/>
      <c r="X750" s="20"/>
      <c r="Y750" s="20"/>
      <c r="Z750" s="20"/>
      <c r="AA750" s="20"/>
    </row>
    <row r="751" spans="1:27" ht="12.75" x14ac:dyDescent="0.2">
      <c r="A751" s="20"/>
      <c r="R751" s="20"/>
      <c r="S751" s="20"/>
      <c r="T751" s="20"/>
      <c r="U751" s="20"/>
      <c r="V751" s="20"/>
      <c r="W751" s="20"/>
      <c r="X751" s="20"/>
      <c r="Y751" s="20"/>
      <c r="Z751" s="20"/>
      <c r="AA751" s="20"/>
    </row>
    <row r="752" spans="1:27" ht="12.75" x14ac:dyDescent="0.2">
      <c r="A752" s="20"/>
      <c r="R752" s="20"/>
      <c r="S752" s="20"/>
      <c r="T752" s="20"/>
      <c r="U752" s="20"/>
      <c r="V752" s="20"/>
      <c r="W752" s="20"/>
      <c r="X752" s="20"/>
      <c r="Y752" s="20"/>
      <c r="Z752" s="20"/>
      <c r="AA752" s="20"/>
    </row>
    <row r="753" spans="1:27" ht="12.75" x14ac:dyDescent="0.2">
      <c r="A753" s="20"/>
      <c r="R753" s="20"/>
      <c r="S753" s="20"/>
      <c r="T753" s="20"/>
      <c r="U753" s="20"/>
      <c r="V753" s="20"/>
      <c r="W753" s="20"/>
      <c r="X753" s="20"/>
      <c r="Y753" s="20"/>
      <c r="Z753" s="20"/>
      <c r="AA753" s="20"/>
    </row>
    <row r="754" spans="1:27" ht="12.75" x14ac:dyDescent="0.2">
      <c r="A754" s="20"/>
      <c r="R754" s="20"/>
      <c r="S754" s="20"/>
      <c r="T754" s="20"/>
      <c r="U754" s="20"/>
      <c r="V754" s="20"/>
      <c r="W754" s="20"/>
      <c r="X754" s="20"/>
      <c r="Y754" s="20"/>
      <c r="Z754" s="20"/>
      <c r="AA754" s="20"/>
    </row>
    <row r="755" spans="1:27" ht="12.75" x14ac:dyDescent="0.2">
      <c r="A755" s="20"/>
      <c r="R755" s="20"/>
      <c r="S755" s="20"/>
      <c r="T755" s="20"/>
      <c r="U755" s="20"/>
      <c r="V755" s="20"/>
      <c r="W755" s="20"/>
      <c r="X755" s="20"/>
      <c r="Y755" s="20"/>
      <c r="Z755" s="20"/>
      <c r="AA755" s="20"/>
    </row>
    <row r="756" spans="1:27" ht="12.75" x14ac:dyDescent="0.2">
      <c r="A756" s="20"/>
      <c r="R756" s="20"/>
      <c r="S756" s="20"/>
      <c r="T756" s="20"/>
      <c r="U756" s="20"/>
      <c r="V756" s="20"/>
      <c r="W756" s="20"/>
      <c r="X756" s="20"/>
      <c r="Y756" s="20"/>
      <c r="Z756" s="20"/>
      <c r="AA756" s="20"/>
    </row>
    <row r="757" spans="1:27" ht="12.75" x14ac:dyDescent="0.2">
      <c r="A757" s="20"/>
      <c r="R757" s="20"/>
      <c r="S757" s="20"/>
      <c r="T757" s="20"/>
      <c r="U757" s="20"/>
      <c r="V757" s="20"/>
      <c r="W757" s="20"/>
      <c r="X757" s="20"/>
      <c r="Y757" s="20"/>
      <c r="Z757" s="20"/>
      <c r="AA757" s="20"/>
    </row>
    <row r="758" spans="1:27" ht="12.75" x14ac:dyDescent="0.2">
      <c r="A758" s="20"/>
      <c r="R758" s="20"/>
      <c r="S758" s="20"/>
      <c r="T758" s="20"/>
      <c r="U758" s="20"/>
      <c r="V758" s="20"/>
      <c r="W758" s="20"/>
      <c r="X758" s="20"/>
      <c r="Y758" s="20"/>
      <c r="Z758" s="20"/>
      <c r="AA758" s="20"/>
    </row>
    <row r="759" spans="1:27" ht="12.75" x14ac:dyDescent="0.2">
      <c r="A759" s="20"/>
      <c r="R759" s="20"/>
      <c r="S759" s="20"/>
      <c r="T759" s="20"/>
      <c r="U759" s="20"/>
      <c r="V759" s="20"/>
      <c r="W759" s="20"/>
      <c r="X759" s="20"/>
      <c r="Y759" s="20"/>
      <c r="Z759" s="20"/>
      <c r="AA759" s="20"/>
    </row>
    <row r="760" spans="1:27" ht="12.75" x14ac:dyDescent="0.2">
      <c r="A760" s="20"/>
      <c r="R760" s="20"/>
      <c r="S760" s="20"/>
      <c r="T760" s="20"/>
      <c r="U760" s="20"/>
      <c r="V760" s="20"/>
      <c r="W760" s="20"/>
      <c r="X760" s="20"/>
      <c r="Y760" s="20"/>
      <c r="Z760" s="20"/>
      <c r="AA760" s="20"/>
    </row>
    <row r="761" spans="1:27" ht="12.75" x14ac:dyDescent="0.2">
      <c r="A761" s="20"/>
      <c r="R761" s="20"/>
      <c r="S761" s="20"/>
      <c r="T761" s="20"/>
      <c r="U761" s="20"/>
      <c r="V761" s="20"/>
      <c r="W761" s="20"/>
      <c r="X761" s="20"/>
      <c r="Y761" s="20"/>
      <c r="Z761" s="20"/>
      <c r="AA761" s="20"/>
    </row>
    <row r="762" spans="1:27" ht="12.75" x14ac:dyDescent="0.2">
      <c r="A762" s="20"/>
      <c r="R762" s="20"/>
      <c r="S762" s="20"/>
      <c r="T762" s="20"/>
      <c r="U762" s="20"/>
      <c r="V762" s="20"/>
      <c r="W762" s="20"/>
      <c r="X762" s="20"/>
      <c r="Y762" s="20"/>
      <c r="Z762" s="20"/>
      <c r="AA762" s="20"/>
    </row>
    <row r="763" spans="1:27" ht="12.75" x14ac:dyDescent="0.2">
      <c r="A763" s="20"/>
      <c r="R763" s="20"/>
      <c r="S763" s="20"/>
      <c r="T763" s="20"/>
      <c r="U763" s="20"/>
      <c r="V763" s="20"/>
      <c r="W763" s="20"/>
      <c r="X763" s="20"/>
      <c r="Y763" s="20"/>
      <c r="Z763" s="20"/>
      <c r="AA763" s="20"/>
    </row>
    <row r="764" spans="1:27" ht="12.75" x14ac:dyDescent="0.2">
      <c r="A764" s="20"/>
      <c r="R764" s="20"/>
      <c r="S764" s="20"/>
      <c r="T764" s="20"/>
      <c r="U764" s="20"/>
      <c r="V764" s="20"/>
      <c r="W764" s="20"/>
      <c r="X764" s="20"/>
      <c r="Y764" s="20"/>
      <c r="Z764" s="20"/>
      <c r="AA764" s="20"/>
    </row>
    <row r="765" spans="1:27" ht="12.75" x14ac:dyDescent="0.2">
      <c r="A765" s="20"/>
      <c r="R765" s="20"/>
      <c r="S765" s="20"/>
      <c r="T765" s="20"/>
      <c r="U765" s="20"/>
      <c r="V765" s="20"/>
      <c r="W765" s="20"/>
      <c r="X765" s="20"/>
      <c r="Y765" s="20"/>
      <c r="Z765" s="20"/>
      <c r="AA765" s="20"/>
    </row>
    <row r="766" spans="1:27" ht="12.75" x14ac:dyDescent="0.2">
      <c r="A766" s="20"/>
      <c r="R766" s="20"/>
      <c r="S766" s="20"/>
      <c r="T766" s="20"/>
      <c r="U766" s="20"/>
      <c r="V766" s="20"/>
      <c r="W766" s="20"/>
      <c r="X766" s="20"/>
      <c r="Y766" s="20"/>
      <c r="Z766" s="20"/>
      <c r="AA766" s="20"/>
    </row>
    <row r="767" spans="1:27" ht="12.75" x14ac:dyDescent="0.2">
      <c r="A767" s="20"/>
      <c r="R767" s="20"/>
      <c r="S767" s="20"/>
      <c r="T767" s="20"/>
      <c r="U767" s="20"/>
      <c r="V767" s="20"/>
      <c r="W767" s="20"/>
      <c r="X767" s="20"/>
      <c r="Y767" s="20"/>
      <c r="Z767" s="20"/>
      <c r="AA767" s="20"/>
    </row>
    <row r="768" spans="1:27" ht="12.75" x14ac:dyDescent="0.2">
      <c r="A768" s="20"/>
      <c r="R768" s="20"/>
      <c r="S768" s="20"/>
      <c r="T768" s="20"/>
      <c r="U768" s="20"/>
      <c r="V768" s="20"/>
      <c r="W768" s="20"/>
      <c r="X768" s="20"/>
      <c r="Y768" s="20"/>
      <c r="Z768" s="20"/>
      <c r="AA768" s="20"/>
    </row>
    <row r="769" spans="1:27" ht="12.75" x14ac:dyDescent="0.2">
      <c r="A769" s="20"/>
      <c r="R769" s="20"/>
      <c r="S769" s="20"/>
      <c r="T769" s="20"/>
      <c r="U769" s="20"/>
      <c r="V769" s="20"/>
      <c r="W769" s="20"/>
      <c r="X769" s="20"/>
      <c r="Y769" s="20"/>
      <c r="Z769" s="20"/>
      <c r="AA769" s="20"/>
    </row>
    <row r="770" spans="1:27" ht="12.75" x14ac:dyDescent="0.2">
      <c r="A770" s="20"/>
      <c r="R770" s="20"/>
      <c r="S770" s="20"/>
      <c r="T770" s="20"/>
      <c r="U770" s="20"/>
      <c r="V770" s="20"/>
      <c r="W770" s="20"/>
      <c r="X770" s="20"/>
      <c r="Y770" s="20"/>
      <c r="Z770" s="20"/>
      <c r="AA770" s="20"/>
    </row>
    <row r="771" spans="1:27" ht="12.75" x14ac:dyDescent="0.2">
      <c r="A771" s="20"/>
      <c r="R771" s="20"/>
      <c r="S771" s="20"/>
      <c r="T771" s="20"/>
      <c r="U771" s="20"/>
      <c r="V771" s="20"/>
      <c r="W771" s="20"/>
      <c r="X771" s="20"/>
      <c r="Y771" s="20"/>
      <c r="Z771" s="20"/>
      <c r="AA771" s="20"/>
    </row>
    <row r="772" spans="1:27" ht="12.75" x14ac:dyDescent="0.2">
      <c r="A772" s="20"/>
      <c r="R772" s="20"/>
      <c r="S772" s="20"/>
      <c r="T772" s="20"/>
      <c r="U772" s="20"/>
      <c r="V772" s="20"/>
      <c r="W772" s="20"/>
      <c r="X772" s="20"/>
      <c r="Y772" s="20"/>
      <c r="Z772" s="20"/>
      <c r="AA772" s="20"/>
    </row>
    <row r="773" spans="1:27" ht="12.75" x14ac:dyDescent="0.2">
      <c r="A773" s="20"/>
      <c r="R773" s="20"/>
      <c r="S773" s="20"/>
      <c r="T773" s="20"/>
      <c r="U773" s="20"/>
      <c r="V773" s="20"/>
      <c r="W773" s="20"/>
      <c r="X773" s="20"/>
      <c r="Y773" s="20"/>
      <c r="Z773" s="20"/>
      <c r="AA773" s="20"/>
    </row>
    <row r="774" spans="1:27" ht="12.75" x14ac:dyDescent="0.2">
      <c r="A774" s="20"/>
      <c r="R774" s="20"/>
      <c r="S774" s="20"/>
      <c r="T774" s="20"/>
      <c r="U774" s="20"/>
      <c r="V774" s="20"/>
      <c r="W774" s="20"/>
      <c r="X774" s="20"/>
      <c r="Y774" s="20"/>
      <c r="Z774" s="20"/>
      <c r="AA774" s="20"/>
    </row>
    <row r="775" spans="1:27" ht="12.75" x14ac:dyDescent="0.2">
      <c r="A775" s="20"/>
      <c r="R775" s="20"/>
      <c r="S775" s="20"/>
      <c r="T775" s="20"/>
      <c r="U775" s="20"/>
      <c r="V775" s="20"/>
      <c r="W775" s="20"/>
      <c r="X775" s="20"/>
      <c r="Y775" s="20"/>
      <c r="Z775" s="20"/>
      <c r="AA775" s="20"/>
    </row>
    <row r="776" spans="1:27" ht="12.75" x14ac:dyDescent="0.2">
      <c r="A776" s="20"/>
      <c r="R776" s="20"/>
      <c r="S776" s="20"/>
      <c r="T776" s="20"/>
      <c r="U776" s="20"/>
      <c r="V776" s="20"/>
      <c r="W776" s="20"/>
      <c r="X776" s="20"/>
      <c r="Y776" s="20"/>
      <c r="Z776" s="20"/>
      <c r="AA776" s="20"/>
    </row>
    <row r="777" spans="1:27" ht="12.75" x14ac:dyDescent="0.2">
      <c r="A777" s="20"/>
      <c r="R777" s="20"/>
      <c r="S777" s="20"/>
      <c r="T777" s="20"/>
      <c r="U777" s="20"/>
      <c r="V777" s="20"/>
      <c r="W777" s="20"/>
      <c r="X777" s="20"/>
      <c r="Y777" s="20"/>
      <c r="Z777" s="20"/>
      <c r="AA777" s="20"/>
    </row>
    <row r="778" spans="1:27" ht="12.75" x14ac:dyDescent="0.2">
      <c r="A778" s="20"/>
      <c r="R778" s="20"/>
      <c r="S778" s="20"/>
      <c r="T778" s="20"/>
      <c r="U778" s="20"/>
      <c r="V778" s="20"/>
      <c r="W778" s="20"/>
      <c r="X778" s="20"/>
      <c r="Y778" s="20"/>
      <c r="Z778" s="20"/>
      <c r="AA778" s="20"/>
    </row>
    <row r="779" spans="1:27" ht="12.75" x14ac:dyDescent="0.2">
      <c r="A779" s="20"/>
      <c r="R779" s="20"/>
      <c r="S779" s="20"/>
      <c r="T779" s="20"/>
      <c r="U779" s="20"/>
      <c r="V779" s="20"/>
      <c r="W779" s="20"/>
      <c r="X779" s="20"/>
      <c r="Y779" s="20"/>
      <c r="Z779" s="20"/>
      <c r="AA779" s="20"/>
    </row>
    <row r="780" spans="1:27" ht="12.75" x14ac:dyDescent="0.2">
      <c r="A780" s="20"/>
      <c r="R780" s="20"/>
      <c r="S780" s="20"/>
      <c r="T780" s="20"/>
      <c r="U780" s="20"/>
      <c r="V780" s="20"/>
      <c r="W780" s="20"/>
      <c r="X780" s="20"/>
      <c r="Y780" s="20"/>
      <c r="Z780" s="20"/>
      <c r="AA780" s="20"/>
    </row>
    <row r="781" spans="1:27" ht="12.75" x14ac:dyDescent="0.2">
      <c r="A781" s="20"/>
      <c r="R781" s="20"/>
      <c r="S781" s="20"/>
      <c r="T781" s="20"/>
      <c r="U781" s="20"/>
      <c r="V781" s="20"/>
      <c r="W781" s="20"/>
      <c r="X781" s="20"/>
      <c r="Y781" s="20"/>
      <c r="Z781" s="20"/>
      <c r="AA781" s="20"/>
    </row>
    <row r="782" spans="1:27" ht="12.75" x14ac:dyDescent="0.2">
      <c r="A782" s="20"/>
      <c r="R782" s="20"/>
      <c r="S782" s="20"/>
      <c r="T782" s="20"/>
      <c r="U782" s="20"/>
      <c r="V782" s="20"/>
      <c r="W782" s="20"/>
      <c r="X782" s="20"/>
      <c r="Y782" s="20"/>
      <c r="Z782" s="20"/>
      <c r="AA782" s="20"/>
    </row>
    <row r="783" spans="1:27" ht="12.75" x14ac:dyDescent="0.2">
      <c r="A783" s="20"/>
      <c r="R783" s="20"/>
      <c r="S783" s="20"/>
      <c r="T783" s="20"/>
      <c r="U783" s="20"/>
      <c r="V783" s="20"/>
      <c r="W783" s="20"/>
      <c r="X783" s="20"/>
      <c r="Y783" s="20"/>
      <c r="Z783" s="20"/>
      <c r="AA783" s="20"/>
    </row>
    <row r="784" spans="1:27" ht="12.75" x14ac:dyDescent="0.2">
      <c r="A784" s="20"/>
      <c r="R784" s="20"/>
      <c r="S784" s="20"/>
      <c r="T784" s="20"/>
      <c r="U784" s="20"/>
      <c r="V784" s="20"/>
      <c r="W784" s="20"/>
      <c r="X784" s="20"/>
      <c r="Y784" s="20"/>
      <c r="Z784" s="20"/>
      <c r="AA784" s="20"/>
    </row>
    <row r="785" spans="1:27" ht="12.75" x14ac:dyDescent="0.2">
      <c r="A785" s="20"/>
      <c r="R785" s="20"/>
      <c r="S785" s="20"/>
      <c r="T785" s="20"/>
      <c r="U785" s="20"/>
      <c r="V785" s="20"/>
      <c r="W785" s="20"/>
      <c r="X785" s="20"/>
      <c r="Y785" s="20"/>
      <c r="Z785" s="20"/>
      <c r="AA785" s="20"/>
    </row>
    <row r="786" spans="1:27" ht="12.75" x14ac:dyDescent="0.2">
      <c r="A786" s="20"/>
      <c r="R786" s="20"/>
      <c r="S786" s="20"/>
      <c r="T786" s="20"/>
      <c r="U786" s="20"/>
      <c r="V786" s="20"/>
      <c r="W786" s="20"/>
      <c r="X786" s="20"/>
      <c r="Y786" s="20"/>
      <c r="Z786" s="20"/>
      <c r="AA786" s="20"/>
    </row>
    <row r="787" spans="1:27" ht="12.75" x14ac:dyDescent="0.2">
      <c r="A787" s="20"/>
      <c r="R787" s="20"/>
      <c r="S787" s="20"/>
      <c r="T787" s="20"/>
      <c r="U787" s="20"/>
      <c r="V787" s="20"/>
      <c r="W787" s="20"/>
      <c r="X787" s="20"/>
      <c r="Y787" s="20"/>
      <c r="Z787" s="20"/>
      <c r="AA787" s="20"/>
    </row>
    <row r="788" spans="1:27" ht="12.75" x14ac:dyDescent="0.2">
      <c r="A788" s="20"/>
      <c r="R788" s="20"/>
      <c r="S788" s="20"/>
      <c r="T788" s="20"/>
      <c r="U788" s="20"/>
      <c r="V788" s="20"/>
      <c r="W788" s="20"/>
      <c r="X788" s="20"/>
      <c r="Y788" s="20"/>
      <c r="Z788" s="20"/>
      <c r="AA788" s="20"/>
    </row>
    <row r="789" spans="1:27" ht="12.75" x14ac:dyDescent="0.2">
      <c r="A789" s="20"/>
      <c r="R789" s="20"/>
      <c r="S789" s="20"/>
      <c r="T789" s="20"/>
      <c r="U789" s="20"/>
      <c r="V789" s="20"/>
      <c r="W789" s="20"/>
      <c r="X789" s="20"/>
      <c r="Y789" s="20"/>
      <c r="Z789" s="20"/>
      <c r="AA789" s="20"/>
    </row>
    <row r="790" spans="1:27" ht="12.75" x14ac:dyDescent="0.2">
      <c r="A790" s="20"/>
      <c r="R790" s="20"/>
      <c r="S790" s="20"/>
      <c r="T790" s="20"/>
      <c r="U790" s="20"/>
      <c r="V790" s="20"/>
      <c r="W790" s="20"/>
      <c r="X790" s="20"/>
      <c r="Y790" s="20"/>
      <c r="Z790" s="20"/>
      <c r="AA790" s="20"/>
    </row>
    <row r="791" spans="1:27" ht="12.75" x14ac:dyDescent="0.2">
      <c r="A791" s="20"/>
      <c r="R791" s="20"/>
      <c r="S791" s="20"/>
      <c r="T791" s="20"/>
      <c r="U791" s="20"/>
      <c r="V791" s="20"/>
      <c r="W791" s="20"/>
      <c r="X791" s="20"/>
      <c r="Y791" s="20"/>
      <c r="Z791" s="20"/>
      <c r="AA791" s="20"/>
    </row>
    <row r="792" spans="1:27" ht="12.75" x14ac:dyDescent="0.2">
      <c r="A792" s="20"/>
      <c r="R792" s="20"/>
      <c r="S792" s="20"/>
      <c r="T792" s="20"/>
      <c r="U792" s="20"/>
      <c r="V792" s="20"/>
      <c r="W792" s="20"/>
      <c r="X792" s="20"/>
      <c r="Y792" s="20"/>
      <c r="Z792" s="20"/>
      <c r="AA792" s="20"/>
    </row>
    <row r="793" spans="1:27" ht="12.75" x14ac:dyDescent="0.2">
      <c r="A793" s="20"/>
      <c r="R793" s="20"/>
      <c r="S793" s="20"/>
      <c r="T793" s="20"/>
      <c r="U793" s="20"/>
      <c r="V793" s="20"/>
      <c r="W793" s="20"/>
      <c r="X793" s="20"/>
      <c r="Y793" s="20"/>
      <c r="Z793" s="20"/>
      <c r="AA793" s="20"/>
    </row>
    <row r="794" spans="1:27" ht="12.75" x14ac:dyDescent="0.2">
      <c r="A794" s="20"/>
      <c r="R794" s="20"/>
      <c r="S794" s="20"/>
      <c r="T794" s="20"/>
      <c r="U794" s="20"/>
      <c r="V794" s="20"/>
      <c r="W794" s="20"/>
      <c r="X794" s="20"/>
      <c r="Y794" s="20"/>
      <c r="Z794" s="20"/>
      <c r="AA794" s="20"/>
    </row>
    <row r="795" spans="1:27" ht="12.75" x14ac:dyDescent="0.2">
      <c r="A795" s="20"/>
      <c r="R795" s="20"/>
      <c r="S795" s="20"/>
      <c r="T795" s="20"/>
      <c r="U795" s="20"/>
      <c r="V795" s="20"/>
      <c r="W795" s="20"/>
      <c r="X795" s="20"/>
      <c r="Y795" s="20"/>
      <c r="Z795" s="20"/>
      <c r="AA795" s="20"/>
    </row>
    <row r="796" spans="1:27" ht="12.75" x14ac:dyDescent="0.2">
      <c r="A796" s="20"/>
      <c r="R796" s="20"/>
      <c r="S796" s="20"/>
      <c r="T796" s="20"/>
      <c r="U796" s="20"/>
      <c r="V796" s="20"/>
      <c r="W796" s="20"/>
      <c r="X796" s="20"/>
      <c r="Y796" s="20"/>
      <c r="Z796" s="20"/>
      <c r="AA796" s="20"/>
    </row>
    <row r="797" spans="1:27" ht="12.75" x14ac:dyDescent="0.2">
      <c r="A797" s="20"/>
      <c r="R797" s="20"/>
      <c r="S797" s="20"/>
      <c r="T797" s="20"/>
      <c r="U797" s="20"/>
      <c r="V797" s="20"/>
      <c r="W797" s="20"/>
      <c r="X797" s="20"/>
      <c r="Y797" s="20"/>
      <c r="Z797" s="20"/>
      <c r="AA797" s="20"/>
    </row>
    <row r="798" spans="1:27" ht="12.75" x14ac:dyDescent="0.2">
      <c r="A798" s="20"/>
      <c r="R798" s="20"/>
      <c r="S798" s="20"/>
      <c r="T798" s="20"/>
      <c r="U798" s="20"/>
      <c r="V798" s="20"/>
      <c r="W798" s="20"/>
      <c r="X798" s="20"/>
      <c r="Y798" s="20"/>
      <c r="Z798" s="20"/>
      <c r="AA798" s="20"/>
    </row>
    <row r="799" spans="1:27" ht="12.75" x14ac:dyDescent="0.2">
      <c r="A799" s="20"/>
      <c r="R799" s="20"/>
      <c r="S799" s="20"/>
      <c r="T799" s="20"/>
      <c r="U799" s="20"/>
      <c r="V799" s="20"/>
      <c r="W799" s="20"/>
      <c r="X799" s="20"/>
      <c r="Y799" s="20"/>
      <c r="Z799" s="20"/>
      <c r="AA799" s="20"/>
    </row>
    <row r="800" spans="1:27" ht="12.75" x14ac:dyDescent="0.2">
      <c r="A800" s="20"/>
      <c r="R800" s="20"/>
      <c r="S800" s="20"/>
      <c r="T800" s="20"/>
      <c r="U800" s="20"/>
      <c r="V800" s="20"/>
      <c r="W800" s="20"/>
      <c r="X800" s="20"/>
      <c r="Y800" s="20"/>
      <c r="Z800" s="20"/>
      <c r="AA800" s="20"/>
    </row>
    <row r="801" spans="1:27" ht="12.75" x14ac:dyDescent="0.2">
      <c r="A801" s="20"/>
      <c r="R801" s="20"/>
      <c r="S801" s="20"/>
      <c r="T801" s="20"/>
      <c r="U801" s="20"/>
      <c r="V801" s="20"/>
      <c r="W801" s="20"/>
      <c r="X801" s="20"/>
      <c r="Y801" s="20"/>
      <c r="Z801" s="20"/>
      <c r="AA801" s="20"/>
    </row>
    <row r="802" spans="1:27" ht="12.75" x14ac:dyDescent="0.2">
      <c r="A802" s="20"/>
      <c r="R802" s="20"/>
      <c r="S802" s="20"/>
      <c r="T802" s="20"/>
      <c r="U802" s="20"/>
      <c r="V802" s="20"/>
      <c r="W802" s="20"/>
      <c r="X802" s="20"/>
      <c r="Y802" s="20"/>
      <c r="Z802" s="20"/>
      <c r="AA802" s="20"/>
    </row>
    <row r="803" spans="1:27" ht="12.75" x14ac:dyDescent="0.2">
      <c r="A803" s="20"/>
      <c r="R803" s="20"/>
      <c r="S803" s="20"/>
      <c r="T803" s="20"/>
      <c r="U803" s="20"/>
      <c r="V803" s="20"/>
      <c r="W803" s="20"/>
      <c r="X803" s="20"/>
      <c r="Y803" s="20"/>
      <c r="Z803" s="20"/>
      <c r="AA803" s="20"/>
    </row>
    <row r="804" spans="1:27" ht="12.75" x14ac:dyDescent="0.2">
      <c r="A804" s="20"/>
      <c r="R804" s="20"/>
      <c r="S804" s="20"/>
      <c r="T804" s="20"/>
      <c r="U804" s="20"/>
      <c r="V804" s="20"/>
      <c r="W804" s="20"/>
      <c r="X804" s="20"/>
      <c r="Y804" s="20"/>
      <c r="Z804" s="20"/>
      <c r="AA804" s="20"/>
    </row>
    <row r="805" spans="1:27" ht="12.75" x14ac:dyDescent="0.2">
      <c r="A805" s="20"/>
      <c r="R805" s="20"/>
      <c r="S805" s="20"/>
      <c r="T805" s="20"/>
      <c r="U805" s="20"/>
      <c r="V805" s="20"/>
      <c r="W805" s="20"/>
      <c r="X805" s="20"/>
      <c r="Y805" s="20"/>
      <c r="Z805" s="20"/>
      <c r="AA805" s="20"/>
    </row>
    <row r="806" spans="1:27" ht="12.75" x14ac:dyDescent="0.2">
      <c r="A806" s="20"/>
      <c r="R806" s="20"/>
      <c r="S806" s="20"/>
      <c r="T806" s="20"/>
      <c r="U806" s="20"/>
      <c r="V806" s="20"/>
      <c r="W806" s="20"/>
      <c r="X806" s="20"/>
      <c r="Y806" s="20"/>
      <c r="Z806" s="20"/>
      <c r="AA806" s="20"/>
    </row>
    <row r="807" spans="1:27" ht="12.75" x14ac:dyDescent="0.2">
      <c r="A807" s="20"/>
      <c r="R807" s="20"/>
      <c r="S807" s="20"/>
      <c r="T807" s="20"/>
      <c r="U807" s="20"/>
      <c r="V807" s="20"/>
      <c r="W807" s="20"/>
      <c r="X807" s="20"/>
      <c r="Y807" s="20"/>
      <c r="Z807" s="20"/>
      <c r="AA807" s="20"/>
    </row>
    <row r="808" spans="1:27" ht="12.75" x14ac:dyDescent="0.2">
      <c r="A808" s="20"/>
      <c r="R808" s="20"/>
      <c r="S808" s="20"/>
      <c r="T808" s="20"/>
      <c r="U808" s="20"/>
      <c r="V808" s="20"/>
      <c r="W808" s="20"/>
      <c r="X808" s="20"/>
      <c r="Y808" s="20"/>
      <c r="Z808" s="20"/>
      <c r="AA808" s="20"/>
    </row>
    <row r="809" spans="1:27" ht="12.75" x14ac:dyDescent="0.2">
      <c r="A809" s="20"/>
      <c r="R809" s="20"/>
      <c r="S809" s="20"/>
      <c r="T809" s="20"/>
      <c r="U809" s="20"/>
      <c r="V809" s="20"/>
      <c r="W809" s="20"/>
      <c r="X809" s="20"/>
      <c r="Y809" s="20"/>
      <c r="Z809" s="20"/>
      <c r="AA809" s="20"/>
    </row>
    <row r="810" spans="1:27" ht="12.75" x14ac:dyDescent="0.2">
      <c r="A810" s="20"/>
      <c r="R810" s="20"/>
      <c r="S810" s="20"/>
      <c r="T810" s="20"/>
      <c r="U810" s="20"/>
      <c r="V810" s="20"/>
      <c r="W810" s="20"/>
      <c r="X810" s="20"/>
      <c r="Y810" s="20"/>
      <c r="Z810" s="20"/>
      <c r="AA810" s="20"/>
    </row>
    <row r="811" spans="1:27" ht="12.75" x14ac:dyDescent="0.2">
      <c r="A811" s="20"/>
      <c r="R811" s="20"/>
      <c r="S811" s="20"/>
      <c r="T811" s="20"/>
      <c r="U811" s="20"/>
      <c r="V811" s="20"/>
      <c r="W811" s="20"/>
      <c r="X811" s="20"/>
      <c r="Y811" s="20"/>
      <c r="Z811" s="20"/>
      <c r="AA811" s="20"/>
    </row>
    <row r="812" spans="1:27" ht="12.75" x14ac:dyDescent="0.2">
      <c r="A812" s="20"/>
      <c r="R812" s="20"/>
      <c r="S812" s="20"/>
      <c r="T812" s="20"/>
      <c r="U812" s="20"/>
      <c r="V812" s="20"/>
      <c r="W812" s="20"/>
      <c r="X812" s="20"/>
      <c r="Y812" s="20"/>
      <c r="Z812" s="20"/>
      <c r="AA812" s="20"/>
    </row>
    <row r="813" spans="1:27" ht="12.75" x14ac:dyDescent="0.2">
      <c r="A813" s="20"/>
      <c r="R813" s="20"/>
      <c r="S813" s="20"/>
      <c r="T813" s="20"/>
      <c r="U813" s="20"/>
      <c r="V813" s="20"/>
      <c r="W813" s="20"/>
      <c r="X813" s="20"/>
      <c r="Y813" s="20"/>
      <c r="Z813" s="20"/>
      <c r="AA813" s="20"/>
    </row>
    <row r="814" spans="1:27" ht="12.75" x14ac:dyDescent="0.2">
      <c r="A814" s="20"/>
      <c r="R814" s="20"/>
      <c r="S814" s="20"/>
      <c r="T814" s="20"/>
      <c r="U814" s="20"/>
      <c r="V814" s="20"/>
      <c r="W814" s="20"/>
      <c r="X814" s="20"/>
      <c r="Y814" s="20"/>
      <c r="Z814" s="20"/>
      <c r="AA814" s="20"/>
    </row>
    <row r="815" spans="1:27" ht="12.75" x14ac:dyDescent="0.2">
      <c r="A815" s="20"/>
      <c r="R815" s="20"/>
      <c r="S815" s="20"/>
      <c r="T815" s="20"/>
      <c r="U815" s="20"/>
      <c r="V815" s="20"/>
      <c r="W815" s="20"/>
      <c r="X815" s="20"/>
      <c r="Y815" s="20"/>
      <c r="Z815" s="20"/>
      <c r="AA815" s="20"/>
    </row>
    <row r="816" spans="1:27" ht="12.75" x14ac:dyDescent="0.2">
      <c r="A816" s="20"/>
      <c r="R816" s="20"/>
      <c r="S816" s="20"/>
      <c r="T816" s="20"/>
      <c r="U816" s="20"/>
      <c r="V816" s="20"/>
      <c r="W816" s="20"/>
      <c r="X816" s="20"/>
      <c r="Y816" s="20"/>
      <c r="Z816" s="20"/>
      <c r="AA816" s="20"/>
    </row>
    <row r="817" spans="1:27" ht="12.75" x14ac:dyDescent="0.2">
      <c r="A817" s="20"/>
      <c r="R817" s="20"/>
      <c r="S817" s="20"/>
      <c r="T817" s="20"/>
      <c r="U817" s="20"/>
      <c r="V817" s="20"/>
      <c r="W817" s="20"/>
      <c r="X817" s="20"/>
      <c r="Y817" s="20"/>
      <c r="Z817" s="20"/>
      <c r="AA817" s="20"/>
    </row>
    <row r="818" spans="1:27" ht="12.75" x14ac:dyDescent="0.2">
      <c r="A818" s="20"/>
      <c r="R818" s="20"/>
      <c r="S818" s="20"/>
      <c r="T818" s="20"/>
      <c r="U818" s="20"/>
      <c r="V818" s="20"/>
      <c r="W818" s="20"/>
      <c r="X818" s="20"/>
      <c r="Y818" s="20"/>
      <c r="Z818" s="20"/>
      <c r="AA818" s="20"/>
    </row>
    <row r="819" spans="1:27" ht="12.75" x14ac:dyDescent="0.2">
      <c r="A819" s="20"/>
      <c r="R819" s="20"/>
      <c r="S819" s="20"/>
      <c r="T819" s="20"/>
      <c r="U819" s="20"/>
      <c r="V819" s="20"/>
      <c r="W819" s="20"/>
      <c r="X819" s="20"/>
      <c r="Y819" s="20"/>
      <c r="Z819" s="20"/>
      <c r="AA819" s="20"/>
    </row>
    <row r="820" spans="1:27" ht="12.75" x14ac:dyDescent="0.2">
      <c r="A820" s="20"/>
      <c r="R820" s="20"/>
      <c r="S820" s="20"/>
      <c r="T820" s="20"/>
      <c r="U820" s="20"/>
      <c r="V820" s="20"/>
      <c r="W820" s="20"/>
      <c r="X820" s="20"/>
      <c r="Y820" s="20"/>
      <c r="Z820" s="20"/>
      <c r="AA820" s="20"/>
    </row>
    <row r="821" spans="1:27" ht="12.75" x14ac:dyDescent="0.2">
      <c r="A821" s="20"/>
      <c r="R821" s="20"/>
      <c r="S821" s="20"/>
      <c r="T821" s="20"/>
      <c r="U821" s="20"/>
      <c r="V821" s="20"/>
      <c r="W821" s="20"/>
      <c r="X821" s="20"/>
      <c r="Y821" s="20"/>
      <c r="Z821" s="20"/>
      <c r="AA821" s="20"/>
    </row>
    <row r="822" spans="1:27" ht="12.75" x14ac:dyDescent="0.2">
      <c r="A822" s="20"/>
      <c r="R822" s="20"/>
      <c r="S822" s="20"/>
      <c r="T822" s="20"/>
      <c r="U822" s="20"/>
      <c r="V822" s="20"/>
      <c r="W822" s="20"/>
      <c r="X822" s="20"/>
      <c r="Y822" s="20"/>
      <c r="Z822" s="20"/>
      <c r="AA822" s="20"/>
    </row>
    <row r="823" spans="1:27" ht="12.75" x14ac:dyDescent="0.2">
      <c r="A823" s="20"/>
      <c r="R823" s="20"/>
      <c r="S823" s="20"/>
      <c r="T823" s="20"/>
      <c r="U823" s="20"/>
      <c r="V823" s="20"/>
      <c r="W823" s="20"/>
      <c r="X823" s="20"/>
      <c r="Y823" s="20"/>
      <c r="Z823" s="20"/>
      <c r="AA823" s="20"/>
    </row>
    <row r="824" spans="1:27" ht="12.75" x14ac:dyDescent="0.2">
      <c r="A824" s="20"/>
      <c r="R824" s="20"/>
      <c r="S824" s="20"/>
      <c r="T824" s="20"/>
      <c r="U824" s="20"/>
      <c r="V824" s="20"/>
      <c r="W824" s="20"/>
      <c r="X824" s="20"/>
      <c r="Y824" s="20"/>
      <c r="Z824" s="20"/>
      <c r="AA824" s="20"/>
    </row>
    <row r="825" spans="1:27" ht="12.75" x14ac:dyDescent="0.2">
      <c r="A825" s="20"/>
      <c r="R825" s="20"/>
      <c r="S825" s="20"/>
      <c r="T825" s="20"/>
      <c r="U825" s="20"/>
      <c r="V825" s="20"/>
      <c r="W825" s="20"/>
      <c r="X825" s="20"/>
      <c r="Y825" s="20"/>
      <c r="Z825" s="20"/>
      <c r="AA825" s="20"/>
    </row>
    <row r="826" spans="1:27" ht="12.75" x14ac:dyDescent="0.2">
      <c r="A826" s="20"/>
      <c r="R826" s="20"/>
      <c r="S826" s="20"/>
      <c r="T826" s="20"/>
      <c r="U826" s="20"/>
      <c r="V826" s="20"/>
      <c r="W826" s="20"/>
      <c r="X826" s="20"/>
      <c r="Y826" s="20"/>
      <c r="Z826" s="20"/>
      <c r="AA826" s="20"/>
    </row>
    <row r="827" spans="1:27" ht="12.75" x14ac:dyDescent="0.2">
      <c r="A827" s="20"/>
      <c r="R827" s="20"/>
      <c r="S827" s="20"/>
      <c r="T827" s="20"/>
      <c r="U827" s="20"/>
      <c r="V827" s="20"/>
      <c r="W827" s="20"/>
      <c r="X827" s="20"/>
      <c r="Y827" s="20"/>
      <c r="Z827" s="20"/>
      <c r="AA827" s="20"/>
    </row>
    <row r="828" spans="1:27" ht="12.75" x14ac:dyDescent="0.2">
      <c r="A828" s="20"/>
      <c r="R828" s="20"/>
      <c r="S828" s="20"/>
      <c r="T828" s="20"/>
      <c r="U828" s="20"/>
      <c r="V828" s="20"/>
      <c r="W828" s="20"/>
      <c r="X828" s="20"/>
      <c r="Y828" s="20"/>
      <c r="Z828" s="20"/>
      <c r="AA828" s="20"/>
    </row>
    <row r="829" spans="1:27" ht="12.75" x14ac:dyDescent="0.2">
      <c r="A829" s="20"/>
      <c r="R829" s="20"/>
      <c r="S829" s="20"/>
      <c r="T829" s="20"/>
      <c r="U829" s="20"/>
      <c r="V829" s="20"/>
      <c r="W829" s="20"/>
      <c r="X829" s="20"/>
      <c r="Y829" s="20"/>
      <c r="Z829" s="20"/>
      <c r="AA829" s="20"/>
    </row>
    <row r="830" spans="1:27" ht="12.75" x14ac:dyDescent="0.2">
      <c r="A830" s="20"/>
      <c r="R830" s="20"/>
      <c r="S830" s="20"/>
      <c r="T830" s="20"/>
      <c r="U830" s="20"/>
      <c r="V830" s="20"/>
      <c r="W830" s="20"/>
      <c r="X830" s="20"/>
      <c r="Y830" s="20"/>
      <c r="Z830" s="20"/>
      <c r="AA830" s="20"/>
    </row>
    <row r="831" spans="1:27" ht="12.75" x14ac:dyDescent="0.2">
      <c r="A831" s="20"/>
      <c r="R831" s="20"/>
      <c r="S831" s="20"/>
      <c r="T831" s="20"/>
      <c r="U831" s="20"/>
      <c r="V831" s="20"/>
      <c r="W831" s="20"/>
      <c r="X831" s="20"/>
      <c r="Y831" s="20"/>
      <c r="Z831" s="20"/>
      <c r="AA831" s="20"/>
    </row>
    <row r="832" spans="1:27" ht="12.75" x14ac:dyDescent="0.2">
      <c r="A832" s="20"/>
      <c r="R832" s="20"/>
      <c r="S832" s="20"/>
      <c r="T832" s="20"/>
      <c r="U832" s="20"/>
      <c r="V832" s="20"/>
      <c r="W832" s="20"/>
      <c r="X832" s="20"/>
      <c r="Y832" s="20"/>
      <c r="Z832" s="20"/>
      <c r="AA832" s="20"/>
    </row>
    <row r="833" spans="1:27" ht="12.75" x14ac:dyDescent="0.2">
      <c r="A833" s="20"/>
      <c r="R833" s="20"/>
      <c r="S833" s="20"/>
      <c r="T833" s="20"/>
      <c r="U833" s="20"/>
      <c r="V833" s="20"/>
      <c r="W833" s="20"/>
      <c r="X833" s="20"/>
      <c r="Y833" s="20"/>
      <c r="Z833" s="20"/>
      <c r="AA833" s="20"/>
    </row>
    <row r="834" spans="1:27" ht="12.75" x14ac:dyDescent="0.2">
      <c r="A834" s="20"/>
      <c r="R834" s="20"/>
      <c r="S834" s="20"/>
      <c r="T834" s="20"/>
      <c r="U834" s="20"/>
      <c r="V834" s="20"/>
      <c r="W834" s="20"/>
      <c r="X834" s="20"/>
      <c r="Y834" s="20"/>
      <c r="Z834" s="20"/>
      <c r="AA834" s="20"/>
    </row>
    <row r="835" spans="1:27" ht="12.75" x14ac:dyDescent="0.2">
      <c r="A835" s="20"/>
      <c r="R835" s="20"/>
      <c r="S835" s="20"/>
      <c r="T835" s="20"/>
      <c r="U835" s="20"/>
      <c r="V835" s="20"/>
      <c r="W835" s="20"/>
      <c r="X835" s="20"/>
      <c r="Y835" s="20"/>
      <c r="Z835" s="20"/>
      <c r="AA835" s="20"/>
    </row>
    <row r="836" spans="1:27" ht="12.75" x14ac:dyDescent="0.2">
      <c r="A836" s="20"/>
      <c r="R836" s="20"/>
      <c r="S836" s="20"/>
      <c r="T836" s="20"/>
      <c r="U836" s="20"/>
      <c r="V836" s="20"/>
      <c r="W836" s="20"/>
      <c r="X836" s="20"/>
      <c r="Y836" s="20"/>
      <c r="Z836" s="20"/>
      <c r="AA836" s="20"/>
    </row>
    <row r="837" spans="1:27" ht="12.75" x14ac:dyDescent="0.2">
      <c r="A837" s="20"/>
      <c r="R837" s="20"/>
      <c r="S837" s="20"/>
      <c r="T837" s="20"/>
      <c r="U837" s="20"/>
      <c r="V837" s="20"/>
      <c r="W837" s="20"/>
      <c r="X837" s="20"/>
      <c r="Y837" s="20"/>
      <c r="Z837" s="20"/>
      <c r="AA837" s="20"/>
    </row>
    <row r="838" spans="1:27" ht="12.75" x14ac:dyDescent="0.2">
      <c r="A838" s="20"/>
      <c r="R838" s="20"/>
      <c r="S838" s="20"/>
      <c r="T838" s="20"/>
      <c r="U838" s="20"/>
      <c r="V838" s="20"/>
      <c r="W838" s="20"/>
      <c r="X838" s="20"/>
      <c r="Y838" s="20"/>
      <c r="Z838" s="20"/>
      <c r="AA838" s="20"/>
    </row>
    <row r="839" spans="1:27" ht="12.75" x14ac:dyDescent="0.2">
      <c r="A839" s="20"/>
      <c r="R839" s="20"/>
      <c r="S839" s="20"/>
      <c r="T839" s="20"/>
      <c r="U839" s="20"/>
      <c r="V839" s="20"/>
      <c r="W839" s="20"/>
      <c r="X839" s="20"/>
      <c r="Y839" s="20"/>
      <c r="Z839" s="20"/>
      <c r="AA839" s="20"/>
    </row>
    <row r="840" spans="1:27" ht="12.75" x14ac:dyDescent="0.2">
      <c r="A840" s="20"/>
      <c r="R840" s="20"/>
      <c r="S840" s="20"/>
      <c r="T840" s="20"/>
      <c r="U840" s="20"/>
      <c r="V840" s="20"/>
      <c r="W840" s="20"/>
      <c r="X840" s="20"/>
      <c r="Y840" s="20"/>
      <c r="Z840" s="20"/>
      <c r="AA840" s="20"/>
    </row>
    <row r="841" spans="1:27" ht="12.75" x14ac:dyDescent="0.2">
      <c r="A841" s="20"/>
      <c r="R841" s="20"/>
      <c r="S841" s="20"/>
      <c r="T841" s="20"/>
      <c r="U841" s="20"/>
      <c r="V841" s="20"/>
      <c r="W841" s="20"/>
      <c r="X841" s="20"/>
      <c r="Y841" s="20"/>
      <c r="Z841" s="20"/>
      <c r="AA841" s="20"/>
    </row>
    <row r="842" spans="1:27" ht="12.75" x14ac:dyDescent="0.2">
      <c r="A842" s="20"/>
      <c r="R842" s="20"/>
      <c r="S842" s="20"/>
      <c r="T842" s="20"/>
      <c r="U842" s="20"/>
      <c r="V842" s="20"/>
      <c r="W842" s="20"/>
      <c r="X842" s="20"/>
      <c r="Y842" s="20"/>
      <c r="Z842" s="20"/>
      <c r="AA842" s="20"/>
    </row>
    <row r="843" spans="1:27" ht="12.75" x14ac:dyDescent="0.2">
      <c r="A843" s="20"/>
      <c r="R843" s="20"/>
      <c r="S843" s="20"/>
      <c r="T843" s="20"/>
      <c r="U843" s="20"/>
      <c r="V843" s="20"/>
      <c r="W843" s="20"/>
      <c r="X843" s="20"/>
      <c r="Y843" s="20"/>
      <c r="Z843" s="20"/>
      <c r="AA843" s="20"/>
    </row>
    <row r="844" spans="1:27" ht="12.75" x14ac:dyDescent="0.2">
      <c r="A844" s="20"/>
      <c r="R844" s="20"/>
      <c r="S844" s="20"/>
      <c r="T844" s="20"/>
      <c r="U844" s="20"/>
      <c r="V844" s="20"/>
      <c r="W844" s="20"/>
      <c r="X844" s="20"/>
      <c r="Y844" s="20"/>
      <c r="Z844" s="20"/>
      <c r="AA844" s="20"/>
    </row>
    <row r="845" spans="1:27" ht="12.75" x14ac:dyDescent="0.2">
      <c r="A845" s="20"/>
      <c r="R845" s="20"/>
      <c r="S845" s="20"/>
      <c r="T845" s="20"/>
      <c r="U845" s="20"/>
      <c r="V845" s="20"/>
      <c r="W845" s="20"/>
      <c r="X845" s="20"/>
      <c r="Y845" s="20"/>
      <c r="Z845" s="20"/>
      <c r="AA845" s="20"/>
    </row>
    <row r="846" spans="1:27" ht="12.75" x14ac:dyDescent="0.2">
      <c r="A846" s="20"/>
      <c r="R846" s="20"/>
      <c r="S846" s="20"/>
      <c r="T846" s="20"/>
      <c r="U846" s="20"/>
      <c r="V846" s="20"/>
      <c r="W846" s="20"/>
      <c r="X846" s="20"/>
      <c r="Y846" s="20"/>
      <c r="Z846" s="20"/>
      <c r="AA846" s="20"/>
    </row>
    <row r="847" spans="1:27" ht="12.75" x14ac:dyDescent="0.2">
      <c r="A847" s="20"/>
      <c r="R847" s="20"/>
      <c r="S847" s="20"/>
      <c r="T847" s="20"/>
      <c r="U847" s="20"/>
      <c r="V847" s="20"/>
      <c r="W847" s="20"/>
      <c r="X847" s="20"/>
      <c r="Y847" s="20"/>
      <c r="Z847" s="20"/>
      <c r="AA847" s="20"/>
    </row>
    <row r="848" spans="1:27" ht="12.75" x14ac:dyDescent="0.2">
      <c r="A848" s="20"/>
      <c r="R848" s="20"/>
      <c r="S848" s="20"/>
      <c r="T848" s="20"/>
      <c r="U848" s="20"/>
      <c r="V848" s="20"/>
      <c r="W848" s="20"/>
      <c r="X848" s="20"/>
      <c r="Y848" s="20"/>
      <c r="Z848" s="20"/>
      <c r="AA848" s="20"/>
    </row>
    <row r="849" spans="1:27" ht="12.75" x14ac:dyDescent="0.2">
      <c r="A849" s="20"/>
      <c r="R849" s="20"/>
      <c r="S849" s="20"/>
      <c r="T849" s="20"/>
      <c r="U849" s="20"/>
      <c r="V849" s="20"/>
      <c r="W849" s="20"/>
      <c r="X849" s="20"/>
      <c r="Y849" s="20"/>
      <c r="Z849" s="20"/>
      <c r="AA849" s="20"/>
    </row>
    <row r="850" spans="1:27" ht="12.75" x14ac:dyDescent="0.2">
      <c r="A850" s="20"/>
      <c r="R850" s="20"/>
      <c r="S850" s="20"/>
      <c r="T850" s="20"/>
      <c r="U850" s="20"/>
      <c r="V850" s="20"/>
      <c r="W850" s="20"/>
      <c r="X850" s="20"/>
      <c r="Y850" s="20"/>
      <c r="Z850" s="20"/>
      <c r="AA850" s="20"/>
    </row>
    <row r="851" spans="1:27" ht="12.75" x14ac:dyDescent="0.2">
      <c r="A851" s="20"/>
      <c r="R851" s="20"/>
      <c r="S851" s="20"/>
      <c r="T851" s="20"/>
      <c r="U851" s="20"/>
      <c r="V851" s="20"/>
      <c r="W851" s="20"/>
      <c r="X851" s="20"/>
      <c r="Y851" s="20"/>
      <c r="Z851" s="20"/>
      <c r="AA851" s="20"/>
    </row>
    <row r="852" spans="1:27" ht="12.75" x14ac:dyDescent="0.2">
      <c r="A852" s="20"/>
      <c r="R852" s="20"/>
      <c r="S852" s="20"/>
      <c r="T852" s="20"/>
      <c r="U852" s="20"/>
      <c r="V852" s="20"/>
      <c r="W852" s="20"/>
      <c r="X852" s="20"/>
      <c r="Y852" s="20"/>
      <c r="Z852" s="20"/>
      <c r="AA852" s="20"/>
    </row>
    <row r="853" spans="1:27" ht="12.75" x14ac:dyDescent="0.2">
      <c r="A853" s="20"/>
      <c r="R853" s="20"/>
      <c r="S853" s="20"/>
      <c r="T853" s="20"/>
      <c r="U853" s="20"/>
      <c r="V853" s="20"/>
      <c r="W853" s="20"/>
      <c r="X853" s="20"/>
      <c r="Y853" s="20"/>
      <c r="Z853" s="20"/>
      <c r="AA853" s="20"/>
    </row>
    <row r="854" spans="1:27" ht="12.75" x14ac:dyDescent="0.2">
      <c r="A854" s="20"/>
      <c r="R854" s="20"/>
      <c r="S854" s="20"/>
      <c r="T854" s="20"/>
      <c r="U854" s="20"/>
      <c r="V854" s="20"/>
      <c r="W854" s="20"/>
      <c r="X854" s="20"/>
      <c r="Y854" s="20"/>
      <c r="Z854" s="20"/>
      <c r="AA854" s="20"/>
    </row>
    <row r="855" spans="1:27" ht="12.75" x14ac:dyDescent="0.2">
      <c r="A855" s="20"/>
      <c r="R855" s="20"/>
      <c r="S855" s="20"/>
      <c r="T855" s="20"/>
      <c r="U855" s="20"/>
      <c r="V855" s="20"/>
      <c r="W855" s="20"/>
      <c r="X855" s="20"/>
      <c r="Y855" s="20"/>
      <c r="Z855" s="20"/>
      <c r="AA855" s="20"/>
    </row>
    <row r="856" spans="1:27" ht="12.75" x14ac:dyDescent="0.2">
      <c r="A856" s="20"/>
      <c r="R856" s="20"/>
      <c r="S856" s="20"/>
      <c r="T856" s="20"/>
      <c r="U856" s="20"/>
      <c r="V856" s="20"/>
      <c r="W856" s="20"/>
      <c r="X856" s="20"/>
      <c r="Y856" s="20"/>
      <c r="Z856" s="20"/>
      <c r="AA856" s="20"/>
    </row>
    <row r="857" spans="1:27" ht="12.75" x14ac:dyDescent="0.2">
      <c r="A857" s="20"/>
      <c r="R857" s="20"/>
      <c r="S857" s="20"/>
      <c r="T857" s="20"/>
      <c r="U857" s="20"/>
      <c r="V857" s="20"/>
      <c r="W857" s="20"/>
      <c r="X857" s="20"/>
      <c r="Y857" s="20"/>
      <c r="Z857" s="20"/>
      <c r="AA857" s="20"/>
    </row>
    <row r="858" spans="1:27" ht="12.75" x14ac:dyDescent="0.2">
      <c r="A858" s="20"/>
      <c r="R858" s="20"/>
      <c r="S858" s="20"/>
      <c r="T858" s="20"/>
      <c r="U858" s="20"/>
      <c r="V858" s="20"/>
      <c r="W858" s="20"/>
      <c r="X858" s="20"/>
      <c r="Y858" s="20"/>
      <c r="Z858" s="20"/>
      <c r="AA858" s="20"/>
    </row>
    <row r="859" spans="1:27" ht="12.75" x14ac:dyDescent="0.2">
      <c r="A859" s="20"/>
      <c r="R859" s="20"/>
      <c r="S859" s="20"/>
      <c r="T859" s="20"/>
      <c r="U859" s="20"/>
      <c r="V859" s="20"/>
      <c r="W859" s="20"/>
      <c r="X859" s="20"/>
      <c r="Y859" s="20"/>
      <c r="Z859" s="20"/>
      <c r="AA859" s="20"/>
    </row>
    <row r="860" spans="1:27" ht="12.75" x14ac:dyDescent="0.2">
      <c r="A860" s="20"/>
      <c r="R860" s="20"/>
      <c r="S860" s="20"/>
      <c r="T860" s="20"/>
      <c r="U860" s="20"/>
      <c r="V860" s="20"/>
      <c r="W860" s="20"/>
      <c r="X860" s="20"/>
      <c r="Y860" s="20"/>
      <c r="Z860" s="20"/>
      <c r="AA860" s="20"/>
    </row>
    <row r="861" spans="1:27" ht="12.75" x14ac:dyDescent="0.2">
      <c r="A861" s="20"/>
      <c r="R861" s="20"/>
      <c r="S861" s="20"/>
      <c r="T861" s="20"/>
      <c r="U861" s="20"/>
      <c r="V861" s="20"/>
      <c r="W861" s="20"/>
      <c r="X861" s="20"/>
      <c r="Y861" s="20"/>
      <c r="Z861" s="20"/>
      <c r="AA861" s="20"/>
    </row>
    <row r="862" spans="1:27" ht="12.75" x14ac:dyDescent="0.2">
      <c r="A862" s="20"/>
      <c r="R862" s="20"/>
      <c r="S862" s="20"/>
      <c r="T862" s="20"/>
      <c r="U862" s="20"/>
      <c r="V862" s="20"/>
      <c r="W862" s="20"/>
      <c r="X862" s="20"/>
      <c r="Y862" s="20"/>
      <c r="Z862" s="20"/>
      <c r="AA862" s="20"/>
    </row>
    <row r="863" spans="1:27" ht="12.75" x14ac:dyDescent="0.2">
      <c r="A863" s="20"/>
      <c r="R863" s="20"/>
      <c r="S863" s="20"/>
      <c r="T863" s="20"/>
      <c r="U863" s="20"/>
      <c r="V863" s="20"/>
      <c r="W863" s="20"/>
      <c r="X863" s="20"/>
      <c r="Y863" s="20"/>
      <c r="Z863" s="20"/>
      <c r="AA863" s="20"/>
    </row>
    <row r="864" spans="1:27" ht="12.75" x14ac:dyDescent="0.2">
      <c r="A864" s="20"/>
      <c r="R864" s="20"/>
      <c r="S864" s="20"/>
      <c r="T864" s="20"/>
      <c r="U864" s="20"/>
      <c r="V864" s="20"/>
      <c r="W864" s="20"/>
      <c r="X864" s="20"/>
      <c r="Y864" s="20"/>
      <c r="Z864" s="20"/>
      <c r="AA864" s="20"/>
    </row>
    <row r="865" spans="1:27" ht="12.75" x14ac:dyDescent="0.2">
      <c r="A865" s="20"/>
      <c r="R865" s="20"/>
      <c r="S865" s="20"/>
      <c r="T865" s="20"/>
      <c r="U865" s="20"/>
      <c r="V865" s="20"/>
      <c r="W865" s="20"/>
      <c r="X865" s="20"/>
      <c r="Y865" s="20"/>
      <c r="Z865" s="20"/>
      <c r="AA865" s="20"/>
    </row>
    <row r="866" spans="1:27" ht="12.75" x14ac:dyDescent="0.2">
      <c r="A866" s="20"/>
      <c r="R866" s="20"/>
      <c r="S866" s="20"/>
      <c r="T866" s="20"/>
      <c r="U866" s="20"/>
      <c r="V866" s="20"/>
      <c r="W866" s="20"/>
      <c r="X866" s="20"/>
      <c r="Y866" s="20"/>
      <c r="Z866" s="20"/>
      <c r="AA866" s="20"/>
    </row>
    <row r="867" spans="1:27" ht="12.75" x14ac:dyDescent="0.2">
      <c r="A867" s="20"/>
      <c r="R867" s="20"/>
      <c r="S867" s="20"/>
      <c r="T867" s="20"/>
      <c r="U867" s="20"/>
      <c r="V867" s="20"/>
      <c r="W867" s="20"/>
      <c r="X867" s="20"/>
      <c r="Y867" s="20"/>
      <c r="Z867" s="20"/>
      <c r="AA867" s="20"/>
    </row>
    <row r="868" spans="1:27" ht="12.75" x14ac:dyDescent="0.2">
      <c r="A868" s="20"/>
      <c r="R868" s="20"/>
      <c r="S868" s="20"/>
      <c r="T868" s="20"/>
      <c r="U868" s="20"/>
      <c r="V868" s="20"/>
      <c r="W868" s="20"/>
      <c r="X868" s="20"/>
      <c r="Y868" s="20"/>
      <c r="Z868" s="20"/>
      <c r="AA868" s="20"/>
    </row>
    <row r="869" spans="1:27" ht="12.75" x14ac:dyDescent="0.2">
      <c r="A869" s="20"/>
      <c r="R869" s="20"/>
      <c r="S869" s="20"/>
      <c r="T869" s="20"/>
      <c r="U869" s="20"/>
      <c r="V869" s="20"/>
      <c r="W869" s="20"/>
      <c r="X869" s="20"/>
      <c r="Y869" s="20"/>
      <c r="Z869" s="20"/>
      <c r="AA869" s="20"/>
    </row>
    <row r="870" spans="1:27" ht="12.75" x14ac:dyDescent="0.2">
      <c r="A870" s="20"/>
      <c r="R870" s="20"/>
      <c r="S870" s="20"/>
      <c r="T870" s="20"/>
      <c r="U870" s="20"/>
      <c r="V870" s="20"/>
      <c r="W870" s="20"/>
      <c r="X870" s="20"/>
      <c r="Y870" s="20"/>
      <c r="Z870" s="20"/>
      <c r="AA870" s="20"/>
    </row>
    <row r="871" spans="1:27" ht="12.75" x14ac:dyDescent="0.2">
      <c r="A871" s="20"/>
      <c r="R871" s="20"/>
      <c r="S871" s="20"/>
      <c r="T871" s="20"/>
      <c r="U871" s="20"/>
      <c r="V871" s="20"/>
      <c r="W871" s="20"/>
      <c r="X871" s="20"/>
      <c r="Y871" s="20"/>
      <c r="Z871" s="20"/>
      <c r="AA871" s="20"/>
    </row>
    <row r="872" spans="1:27" ht="12.75" x14ac:dyDescent="0.2">
      <c r="A872" s="20"/>
      <c r="R872" s="20"/>
      <c r="S872" s="20"/>
      <c r="T872" s="20"/>
      <c r="U872" s="20"/>
      <c r="V872" s="20"/>
      <c r="W872" s="20"/>
      <c r="X872" s="20"/>
      <c r="Y872" s="20"/>
      <c r="Z872" s="20"/>
      <c r="AA872" s="20"/>
    </row>
    <row r="873" spans="1:27" ht="12.75" x14ac:dyDescent="0.2">
      <c r="A873" s="20"/>
      <c r="R873" s="20"/>
      <c r="S873" s="20"/>
      <c r="T873" s="20"/>
      <c r="U873" s="20"/>
      <c r="V873" s="20"/>
      <c r="W873" s="20"/>
      <c r="X873" s="20"/>
      <c r="Y873" s="20"/>
      <c r="Z873" s="20"/>
      <c r="AA873" s="20"/>
    </row>
    <row r="874" spans="1:27" ht="12.75" x14ac:dyDescent="0.2">
      <c r="A874" s="20"/>
      <c r="R874" s="20"/>
      <c r="S874" s="20"/>
      <c r="T874" s="20"/>
      <c r="U874" s="20"/>
      <c r="V874" s="20"/>
      <c r="W874" s="20"/>
      <c r="X874" s="20"/>
      <c r="Y874" s="20"/>
      <c r="Z874" s="20"/>
      <c r="AA874" s="20"/>
    </row>
    <row r="875" spans="1:27" ht="12.75" x14ac:dyDescent="0.2">
      <c r="A875" s="20"/>
      <c r="R875" s="20"/>
      <c r="S875" s="20"/>
      <c r="T875" s="20"/>
      <c r="U875" s="20"/>
      <c r="V875" s="20"/>
      <c r="W875" s="20"/>
      <c r="X875" s="20"/>
      <c r="Y875" s="20"/>
      <c r="Z875" s="20"/>
      <c r="AA875" s="20"/>
    </row>
    <row r="876" spans="1:27" ht="12.75" x14ac:dyDescent="0.2">
      <c r="A876" s="20"/>
      <c r="R876" s="20"/>
      <c r="S876" s="20"/>
      <c r="T876" s="20"/>
      <c r="U876" s="20"/>
      <c r="V876" s="20"/>
      <c r="W876" s="20"/>
      <c r="X876" s="20"/>
      <c r="Y876" s="20"/>
      <c r="Z876" s="20"/>
      <c r="AA876" s="20"/>
    </row>
    <row r="877" spans="1:27" ht="12.75" x14ac:dyDescent="0.2">
      <c r="A877" s="20"/>
      <c r="R877" s="20"/>
      <c r="S877" s="20"/>
      <c r="T877" s="20"/>
      <c r="U877" s="20"/>
      <c r="V877" s="20"/>
      <c r="W877" s="20"/>
      <c r="X877" s="20"/>
      <c r="Y877" s="20"/>
      <c r="Z877" s="20"/>
      <c r="AA877" s="20"/>
    </row>
    <row r="878" spans="1:27" ht="12.75" x14ac:dyDescent="0.2">
      <c r="A878" s="20"/>
      <c r="R878" s="20"/>
      <c r="S878" s="20"/>
      <c r="T878" s="20"/>
      <c r="U878" s="20"/>
      <c r="V878" s="20"/>
      <c r="W878" s="20"/>
      <c r="X878" s="20"/>
      <c r="Y878" s="20"/>
      <c r="Z878" s="20"/>
      <c r="AA878" s="20"/>
    </row>
    <row r="879" spans="1:27" ht="12.75" x14ac:dyDescent="0.2">
      <c r="A879" s="20"/>
      <c r="R879" s="20"/>
      <c r="S879" s="20"/>
      <c r="T879" s="20"/>
      <c r="U879" s="20"/>
      <c r="V879" s="20"/>
      <c r="W879" s="20"/>
      <c r="X879" s="20"/>
      <c r="Y879" s="20"/>
      <c r="Z879" s="20"/>
      <c r="AA879" s="20"/>
    </row>
    <row r="880" spans="1:27" ht="12.75" x14ac:dyDescent="0.2">
      <c r="A880" s="20"/>
      <c r="R880" s="20"/>
      <c r="S880" s="20"/>
      <c r="T880" s="20"/>
      <c r="U880" s="20"/>
      <c r="V880" s="20"/>
      <c r="W880" s="20"/>
      <c r="X880" s="20"/>
      <c r="Y880" s="20"/>
      <c r="Z880" s="20"/>
      <c r="AA880" s="20"/>
    </row>
    <row r="881" spans="1:27" ht="12.75" x14ac:dyDescent="0.2">
      <c r="A881" s="20"/>
      <c r="R881" s="20"/>
      <c r="S881" s="20"/>
      <c r="T881" s="20"/>
      <c r="U881" s="20"/>
      <c r="V881" s="20"/>
      <c r="W881" s="20"/>
      <c r="X881" s="20"/>
      <c r="Y881" s="20"/>
      <c r="Z881" s="20"/>
      <c r="AA881" s="20"/>
    </row>
    <row r="882" spans="1:27" ht="12.75" x14ac:dyDescent="0.2">
      <c r="A882" s="20"/>
      <c r="R882" s="20"/>
      <c r="S882" s="20"/>
      <c r="T882" s="20"/>
      <c r="U882" s="20"/>
      <c r="V882" s="20"/>
      <c r="W882" s="20"/>
      <c r="X882" s="20"/>
      <c r="Y882" s="20"/>
      <c r="Z882" s="20"/>
      <c r="AA882" s="20"/>
    </row>
    <row r="883" spans="1:27" ht="12.75" x14ac:dyDescent="0.2">
      <c r="A883" s="20"/>
      <c r="R883" s="20"/>
      <c r="S883" s="20"/>
      <c r="T883" s="20"/>
      <c r="U883" s="20"/>
      <c r="V883" s="20"/>
      <c r="W883" s="20"/>
      <c r="X883" s="20"/>
      <c r="Y883" s="20"/>
      <c r="Z883" s="20"/>
      <c r="AA883" s="20"/>
    </row>
    <row r="884" spans="1:27" ht="12.75" x14ac:dyDescent="0.2">
      <c r="A884" s="20"/>
      <c r="R884" s="20"/>
      <c r="S884" s="20"/>
      <c r="T884" s="20"/>
      <c r="U884" s="20"/>
      <c r="V884" s="20"/>
      <c r="W884" s="20"/>
      <c r="X884" s="20"/>
      <c r="Y884" s="20"/>
      <c r="Z884" s="20"/>
      <c r="AA884" s="20"/>
    </row>
    <row r="885" spans="1:27" ht="12.75" x14ac:dyDescent="0.2">
      <c r="A885" s="20"/>
      <c r="R885" s="20"/>
      <c r="S885" s="20"/>
      <c r="T885" s="20"/>
      <c r="U885" s="20"/>
      <c r="V885" s="20"/>
      <c r="W885" s="20"/>
      <c r="X885" s="20"/>
      <c r="Y885" s="20"/>
      <c r="Z885" s="20"/>
      <c r="AA885" s="20"/>
    </row>
    <row r="886" spans="1:27" ht="12.75" x14ac:dyDescent="0.2">
      <c r="A886" s="20"/>
      <c r="R886" s="20"/>
      <c r="S886" s="20"/>
      <c r="T886" s="20"/>
      <c r="U886" s="20"/>
      <c r="V886" s="20"/>
      <c r="W886" s="20"/>
      <c r="X886" s="20"/>
      <c r="Y886" s="20"/>
      <c r="Z886" s="20"/>
      <c r="AA886" s="20"/>
    </row>
    <row r="887" spans="1:27" ht="12.75" x14ac:dyDescent="0.2">
      <c r="A887" s="20"/>
      <c r="R887" s="20"/>
      <c r="S887" s="20"/>
      <c r="T887" s="20"/>
      <c r="U887" s="20"/>
      <c r="V887" s="20"/>
      <c r="W887" s="20"/>
      <c r="X887" s="20"/>
      <c r="Y887" s="20"/>
      <c r="Z887" s="20"/>
      <c r="AA887" s="20"/>
    </row>
    <row r="888" spans="1:27" ht="12.75" x14ac:dyDescent="0.2">
      <c r="A888" s="20"/>
      <c r="R888" s="20"/>
      <c r="S888" s="20"/>
      <c r="T888" s="20"/>
      <c r="U888" s="20"/>
      <c r="V888" s="20"/>
      <c r="W888" s="20"/>
      <c r="X888" s="20"/>
      <c r="Y888" s="20"/>
      <c r="Z888" s="20"/>
      <c r="AA888" s="20"/>
    </row>
    <row r="889" spans="1:27" ht="12.75" x14ac:dyDescent="0.2">
      <c r="A889" s="20"/>
      <c r="R889" s="20"/>
      <c r="S889" s="20"/>
      <c r="T889" s="20"/>
      <c r="U889" s="20"/>
      <c r="V889" s="20"/>
      <c r="W889" s="20"/>
      <c r="X889" s="20"/>
      <c r="Y889" s="20"/>
      <c r="Z889" s="20"/>
      <c r="AA889" s="20"/>
    </row>
    <row r="890" spans="1:27" ht="12.75" x14ac:dyDescent="0.2">
      <c r="A890" s="20"/>
      <c r="R890" s="20"/>
      <c r="S890" s="20"/>
      <c r="T890" s="20"/>
      <c r="U890" s="20"/>
      <c r="V890" s="20"/>
      <c r="W890" s="20"/>
      <c r="X890" s="20"/>
      <c r="Y890" s="20"/>
      <c r="Z890" s="20"/>
      <c r="AA890" s="20"/>
    </row>
    <row r="891" spans="1:27" ht="12.75" x14ac:dyDescent="0.2">
      <c r="A891" s="20"/>
      <c r="R891" s="20"/>
      <c r="S891" s="20"/>
      <c r="T891" s="20"/>
      <c r="U891" s="20"/>
      <c r="V891" s="20"/>
      <c r="W891" s="20"/>
      <c r="X891" s="20"/>
      <c r="Y891" s="20"/>
      <c r="Z891" s="20"/>
      <c r="AA891" s="20"/>
    </row>
    <row r="892" spans="1:27" ht="12.75" x14ac:dyDescent="0.2">
      <c r="A892" s="20"/>
      <c r="R892" s="20"/>
      <c r="S892" s="20"/>
      <c r="T892" s="20"/>
      <c r="U892" s="20"/>
      <c r="V892" s="20"/>
      <c r="W892" s="20"/>
      <c r="X892" s="20"/>
      <c r="Y892" s="20"/>
      <c r="Z892" s="20"/>
      <c r="AA892" s="20"/>
    </row>
    <row r="893" spans="1:27" ht="12.75" x14ac:dyDescent="0.2">
      <c r="A893" s="20"/>
      <c r="R893" s="20"/>
      <c r="S893" s="20"/>
      <c r="T893" s="20"/>
      <c r="U893" s="20"/>
      <c r="V893" s="20"/>
      <c r="W893" s="20"/>
      <c r="X893" s="20"/>
      <c r="Y893" s="20"/>
      <c r="Z893" s="20"/>
      <c r="AA893" s="20"/>
    </row>
    <row r="894" spans="1:27" ht="12.75" x14ac:dyDescent="0.2">
      <c r="A894" s="20"/>
      <c r="R894" s="20"/>
      <c r="S894" s="20"/>
      <c r="T894" s="20"/>
      <c r="U894" s="20"/>
      <c r="V894" s="20"/>
      <c r="W894" s="20"/>
      <c r="X894" s="20"/>
      <c r="Y894" s="20"/>
      <c r="Z894" s="20"/>
      <c r="AA894" s="20"/>
    </row>
    <row r="895" spans="1:27" ht="12.75" x14ac:dyDescent="0.2">
      <c r="A895" s="20"/>
      <c r="R895" s="20"/>
      <c r="S895" s="20"/>
      <c r="T895" s="20"/>
      <c r="U895" s="20"/>
      <c r="V895" s="20"/>
      <c r="W895" s="20"/>
      <c r="X895" s="20"/>
      <c r="Y895" s="20"/>
      <c r="Z895" s="20"/>
      <c r="AA895" s="20"/>
    </row>
    <row r="896" spans="1:27" ht="12.75" x14ac:dyDescent="0.2">
      <c r="A896" s="20"/>
      <c r="R896" s="20"/>
      <c r="S896" s="20"/>
      <c r="T896" s="20"/>
      <c r="U896" s="20"/>
      <c r="V896" s="20"/>
      <c r="W896" s="20"/>
      <c r="X896" s="20"/>
      <c r="Y896" s="20"/>
      <c r="Z896" s="20"/>
      <c r="AA896" s="20"/>
    </row>
    <row r="897" spans="1:27" ht="12.75" x14ac:dyDescent="0.2">
      <c r="A897" s="20"/>
      <c r="R897" s="20"/>
      <c r="S897" s="20"/>
      <c r="T897" s="20"/>
      <c r="U897" s="20"/>
      <c r="V897" s="20"/>
      <c r="W897" s="20"/>
      <c r="X897" s="20"/>
      <c r="Y897" s="20"/>
      <c r="Z897" s="20"/>
      <c r="AA897" s="20"/>
    </row>
    <row r="898" spans="1:27" ht="12.75" x14ac:dyDescent="0.2">
      <c r="A898" s="20"/>
      <c r="R898" s="20"/>
      <c r="S898" s="20"/>
      <c r="T898" s="20"/>
      <c r="U898" s="20"/>
      <c r="V898" s="20"/>
      <c r="W898" s="20"/>
      <c r="X898" s="20"/>
      <c r="Y898" s="20"/>
      <c r="Z898" s="20"/>
      <c r="AA898" s="20"/>
    </row>
    <row r="899" spans="1:27" ht="12.75" x14ac:dyDescent="0.2">
      <c r="A899" s="20"/>
      <c r="R899" s="20"/>
      <c r="S899" s="20"/>
      <c r="T899" s="20"/>
      <c r="U899" s="20"/>
      <c r="V899" s="20"/>
      <c r="W899" s="20"/>
      <c r="X899" s="20"/>
      <c r="Y899" s="20"/>
      <c r="Z899" s="20"/>
      <c r="AA899" s="20"/>
    </row>
    <row r="900" spans="1:27" ht="12.75" x14ac:dyDescent="0.2">
      <c r="A900" s="20"/>
      <c r="R900" s="20"/>
      <c r="S900" s="20"/>
      <c r="T900" s="20"/>
      <c r="U900" s="20"/>
      <c r="V900" s="20"/>
      <c r="W900" s="20"/>
      <c r="X900" s="20"/>
      <c r="Y900" s="20"/>
      <c r="Z900" s="20"/>
      <c r="AA900" s="20"/>
    </row>
    <row r="901" spans="1:27" ht="12.75" x14ac:dyDescent="0.2">
      <c r="A901" s="20"/>
      <c r="R901" s="20"/>
      <c r="S901" s="20"/>
      <c r="T901" s="20"/>
      <c r="U901" s="20"/>
      <c r="V901" s="20"/>
      <c r="W901" s="20"/>
      <c r="X901" s="20"/>
      <c r="Y901" s="20"/>
      <c r="Z901" s="20"/>
      <c r="AA901" s="20"/>
    </row>
    <row r="902" spans="1:27" ht="12.75" x14ac:dyDescent="0.2">
      <c r="A902" s="20"/>
      <c r="R902" s="20"/>
      <c r="S902" s="20"/>
      <c r="T902" s="20"/>
      <c r="U902" s="20"/>
      <c r="V902" s="20"/>
      <c r="W902" s="20"/>
      <c r="X902" s="20"/>
      <c r="Y902" s="20"/>
      <c r="Z902" s="20"/>
      <c r="AA902" s="20"/>
    </row>
    <row r="903" spans="1:27" ht="12.75" x14ac:dyDescent="0.2">
      <c r="A903" s="20"/>
      <c r="R903" s="20"/>
      <c r="S903" s="20"/>
      <c r="T903" s="20"/>
      <c r="U903" s="20"/>
      <c r="V903" s="20"/>
      <c r="W903" s="20"/>
      <c r="X903" s="20"/>
      <c r="Y903" s="20"/>
      <c r="Z903" s="20"/>
      <c r="AA903" s="20"/>
    </row>
    <row r="904" spans="1:27" ht="12.75" x14ac:dyDescent="0.2">
      <c r="A904" s="20"/>
      <c r="R904" s="20"/>
      <c r="S904" s="20"/>
      <c r="T904" s="20"/>
      <c r="U904" s="20"/>
      <c r="V904" s="20"/>
      <c r="W904" s="20"/>
      <c r="X904" s="20"/>
      <c r="Y904" s="20"/>
      <c r="Z904" s="20"/>
      <c r="AA904" s="20"/>
    </row>
    <row r="905" spans="1:27" ht="12.75" x14ac:dyDescent="0.2">
      <c r="A905" s="20"/>
      <c r="R905" s="20"/>
      <c r="S905" s="20"/>
      <c r="T905" s="20"/>
      <c r="U905" s="20"/>
      <c r="V905" s="20"/>
      <c r="W905" s="20"/>
      <c r="X905" s="20"/>
      <c r="Y905" s="20"/>
      <c r="Z905" s="20"/>
      <c r="AA905" s="20"/>
    </row>
    <row r="906" spans="1:27" ht="12.75" x14ac:dyDescent="0.2">
      <c r="A906" s="20"/>
      <c r="R906" s="20"/>
      <c r="S906" s="20"/>
      <c r="T906" s="20"/>
      <c r="U906" s="20"/>
      <c r="V906" s="20"/>
      <c r="W906" s="20"/>
      <c r="X906" s="20"/>
      <c r="Y906" s="20"/>
      <c r="Z906" s="20"/>
      <c r="AA906" s="20"/>
    </row>
    <row r="907" spans="1:27" ht="12.75" x14ac:dyDescent="0.2">
      <c r="A907" s="20"/>
      <c r="R907" s="20"/>
      <c r="S907" s="20"/>
      <c r="T907" s="20"/>
      <c r="U907" s="20"/>
      <c r="V907" s="20"/>
      <c r="W907" s="20"/>
      <c r="X907" s="20"/>
      <c r="Y907" s="20"/>
      <c r="Z907" s="20"/>
      <c r="AA907" s="20"/>
    </row>
    <row r="908" spans="1:27" ht="12.75" x14ac:dyDescent="0.2">
      <c r="A908" s="20"/>
      <c r="R908" s="20"/>
      <c r="S908" s="20"/>
      <c r="T908" s="20"/>
      <c r="U908" s="20"/>
      <c r="V908" s="20"/>
      <c r="W908" s="20"/>
      <c r="X908" s="20"/>
      <c r="Y908" s="20"/>
      <c r="Z908" s="20"/>
      <c r="AA908" s="20"/>
    </row>
    <row r="909" spans="1:27" ht="12.75" x14ac:dyDescent="0.2">
      <c r="A909" s="20"/>
      <c r="R909" s="20"/>
      <c r="S909" s="20"/>
      <c r="T909" s="20"/>
      <c r="U909" s="20"/>
      <c r="V909" s="20"/>
      <c r="W909" s="20"/>
      <c r="X909" s="20"/>
      <c r="Y909" s="20"/>
      <c r="Z909" s="20"/>
      <c r="AA909" s="20"/>
    </row>
    <row r="910" spans="1:27" ht="12.75" x14ac:dyDescent="0.2">
      <c r="A910" s="20"/>
      <c r="R910" s="20"/>
      <c r="S910" s="20"/>
      <c r="T910" s="20"/>
      <c r="U910" s="20"/>
      <c r="V910" s="20"/>
      <c r="W910" s="20"/>
      <c r="X910" s="20"/>
      <c r="Y910" s="20"/>
      <c r="Z910" s="20"/>
      <c r="AA910" s="20"/>
    </row>
    <row r="911" spans="1:27" ht="12.75" x14ac:dyDescent="0.2">
      <c r="A911" s="20"/>
      <c r="R911" s="20"/>
      <c r="S911" s="20"/>
      <c r="T911" s="20"/>
      <c r="U911" s="20"/>
      <c r="V911" s="20"/>
      <c r="W911" s="20"/>
      <c r="X911" s="20"/>
      <c r="Y911" s="20"/>
      <c r="Z911" s="20"/>
      <c r="AA911" s="20"/>
    </row>
    <row r="912" spans="1:27" ht="12.75" x14ac:dyDescent="0.2">
      <c r="A912" s="20"/>
      <c r="R912" s="20"/>
      <c r="S912" s="20"/>
      <c r="T912" s="20"/>
      <c r="U912" s="20"/>
      <c r="V912" s="20"/>
      <c r="W912" s="20"/>
      <c r="X912" s="20"/>
      <c r="Y912" s="20"/>
      <c r="Z912" s="20"/>
      <c r="AA912" s="20"/>
    </row>
    <row r="913" spans="1:27" ht="12.75" x14ac:dyDescent="0.2">
      <c r="A913" s="20"/>
      <c r="R913" s="20"/>
      <c r="S913" s="20"/>
      <c r="T913" s="20"/>
      <c r="U913" s="20"/>
      <c r="V913" s="20"/>
      <c r="W913" s="20"/>
      <c r="X913" s="20"/>
      <c r="Y913" s="20"/>
      <c r="Z913" s="20"/>
      <c r="AA913" s="20"/>
    </row>
    <row r="914" spans="1:27" ht="12.75" x14ac:dyDescent="0.2">
      <c r="A914" s="20"/>
      <c r="R914" s="20"/>
      <c r="S914" s="20"/>
      <c r="T914" s="20"/>
      <c r="U914" s="20"/>
      <c r="V914" s="20"/>
      <c r="W914" s="20"/>
      <c r="X914" s="20"/>
      <c r="Y914" s="20"/>
      <c r="Z914" s="20"/>
      <c r="AA914" s="20"/>
    </row>
    <row r="915" spans="1:27" ht="12.75" x14ac:dyDescent="0.2">
      <c r="A915" s="20"/>
      <c r="R915" s="20"/>
      <c r="S915" s="20"/>
      <c r="T915" s="20"/>
      <c r="U915" s="20"/>
      <c r="V915" s="20"/>
      <c r="W915" s="20"/>
      <c r="X915" s="20"/>
      <c r="Y915" s="20"/>
      <c r="Z915" s="20"/>
      <c r="AA915" s="20"/>
    </row>
    <row r="916" spans="1:27" ht="12.75" x14ac:dyDescent="0.2">
      <c r="A916" s="20"/>
      <c r="R916" s="20"/>
      <c r="S916" s="20"/>
      <c r="T916" s="20"/>
      <c r="U916" s="20"/>
      <c r="V916" s="20"/>
      <c r="W916" s="20"/>
      <c r="X916" s="20"/>
      <c r="Y916" s="20"/>
      <c r="Z916" s="20"/>
      <c r="AA916" s="20"/>
    </row>
    <row r="917" spans="1:27" ht="12.75" x14ac:dyDescent="0.2">
      <c r="A917" s="20"/>
      <c r="R917" s="20"/>
      <c r="S917" s="20"/>
      <c r="T917" s="20"/>
      <c r="U917" s="20"/>
      <c r="V917" s="20"/>
      <c r="W917" s="20"/>
      <c r="X917" s="20"/>
      <c r="Y917" s="20"/>
      <c r="Z917" s="20"/>
      <c r="AA917" s="20"/>
    </row>
    <row r="918" spans="1:27" ht="12.75" x14ac:dyDescent="0.2">
      <c r="A918" s="20"/>
      <c r="R918" s="20"/>
      <c r="S918" s="20"/>
      <c r="T918" s="20"/>
      <c r="U918" s="20"/>
      <c r="V918" s="20"/>
      <c r="W918" s="20"/>
      <c r="X918" s="20"/>
      <c r="Y918" s="20"/>
      <c r="Z918" s="20"/>
      <c r="AA918" s="20"/>
    </row>
    <row r="919" spans="1:27" ht="12.75" x14ac:dyDescent="0.2">
      <c r="A919" s="20"/>
      <c r="R919" s="20"/>
      <c r="S919" s="20"/>
      <c r="T919" s="20"/>
      <c r="U919" s="20"/>
      <c r="V919" s="20"/>
      <c r="W919" s="20"/>
      <c r="X919" s="20"/>
      <c r="Y919" s="20"/>
      <c r="Z919" s="20"/>
      <c r="AA919" s="20"/>
    </row>
    <row r="920" spans="1:27" ht="12.75" x14ac:dyDescent="0.2">
      <c r="A920" s="20"/>
      <c r="R920" s="20"/>
      <c r="S920" s="20"/>
      <c r="T920" s="20"/>
      <c r="U920" s="20"/>
      <c r="V920" s="20"/>
      <c r="W920" s="20"/>
      <c r="X920" s="20"/>
      <c r="Y920" s="20"/>
      <c r="Z920" s="20"/>
      <c r="AA920" s="20"/>
    </row>
    <row r="921" spans="1:27" ht="12.75" x14ac:dyDescent="0.2">
      <c r="A921" s="20"/>
      <c r="R921" s="20"/>
      <c r="S921" s="20"/>
      <c r="T921" s="20"/>
      <c r="U921" s="20"/>
      <c r="V921" s="20"/>
      <c r="W921" s="20"/>
      <c r="X921" s="20"/>
      <c r="Y921" s="20"/>
      <c r="Z921" s="20"/>
      <c r="AA921" s="20"/>
    </row>
    <row r="922" spans="1:27" ht="12.75" x14ac:dyDescent="0.2">
      <c r="A922" s="20"/>
      <c r="R922" s="20"/>
      <c r="S922" s="20"/>
      <c r="T922" s="20"/>
      <c r="U922" s="20"/>
      <c r="V922" s="20"/>
      <c r="W922" s="20"/>
      <c r="X922" s="20"/>
      <c r="Y922" s="20"/>
      <c r="Z922" s="20"/>
      <c r="AA922" s="20"/>
    </row>
    <row r="923" spans="1:27" ht="12.75" x14ac:dyDescent="0.2">
      <c r="A923" s="20"/>
      <c r="R923" s="20"/>
      <c r="S923" s="20"/>
      <c r="T923" s="20"/>
      <c r="U923" s="20"/>
      <c r="V923" s="20"/>
      <c r="W923" s="20"/>
      <c r="X923" s="20"/>
      <c r="Y923" s="20"/>
      <c r="Z923" s="20"/>
      <c r="AA923" s="20"/>
    </row>
    <row r="924" spans="1:27" ht="12.75" x14ac:dyDescent="0.2">
      <c r="A924" s="20"/>
      <c r="R924" s="20"/>
      <c r="S924" s="20"/>
      <c r="T924" s="20"/>
      <c r="U924" s="20"/>
      <c r="V924" s="20"/>
      <c r="W924" s="20"/>
      <c r="X924" s="20"/>
      <c r="Y924" s="20"/>
      <c r="Z924" s="20"/>
      <c r="AA924" s="20"/>
    </row>
    <row r="925" spans="1:27" ht="12.75" x14ac:dyDescent="0.2">
      <c r="A925" s="20"/>
      <c r="R925" s="20"/>
      <c r="S925" s="20"/>
      <c r="T925" s="20"/>
      <c r="U925" s="20"/>
      <c r="V925" s="20"/>
      <c r="W925" s="20"/>
      <c r="X925" s="20"/>
      <c r="Y925" s="20"/>
      <c r="Z925" s="20"/>
      <c r="AA925" s="20"/>
    </row>
    <row r="926" spans="1:27" ht="12.75" x14ac:dyDescent="0.2">
      <c r="A926" s="20"/>
      <c r="R926" s="20"/>
      <c r="S926" s="20"/>
      <c r="T926" s="20"/>
      <c r="U926" s="20"/>
      <c r="V926" s="20"/>
      <c r="W926" s="20"/>
      <c r="X926" s="20"/>
      <c r="Y926" s="20"/>
      <c r="Z926" s="20"/>
      <c r="AA926" s="20"/>
    </row>
    <row r="927" spans="1:27" ht="12.75" x14ac:dyDescent="0.2">
      <c r="A927" s="20"/>
      <c r="R927" s="20"/>
      <c r="S927" s="20"/>
      <c r="T927" s="20"/>
      <c r="U927" s="20"/>
      <c r="V927" s="20"/>
      <c r="W927" s="20"/>
      <c r="X927" s="20"/>
      <c r="Y927" s="20"/>
      <c r="Z927" s="20"/>
      <c r="AA927" s="20"/>
    </row>
    <row r="928" spans="1:27" ht="12.75" x14ac:dyDescent="0.2">
      <c r="A928" s="20"/>
      <c r="R928" s="20"/>
      <c r="S928" s="20"/>
      <c r="T928" s="20"/>
      <c r="U928" s="20"/>
      <c r="V928" s="20"/>
      <c r="W928" s="20"/>
      <c r="X928" s="20"/>
      <c r="Y928" s="20"/>
      <c r="Z928" s="20"/>
      <c r="AA928" s="20"/>
    </row>
    <row r="929" spans="1:27" ht="12.75" x14ac:dyDescent="0.2">
      <c r="A929" s="20"/>
      <c r="R929" s="20"/>
      <c r="S929" s="20"/>
      <c r="T929" s="20"/>
      <c r="U929" s="20"/>
      <c r="V929" s="20"/>
      <c r="W929" s="20"/>
      <c r="X929" s="20"/>
      <c r="Y929" s="20"/>
      <c r="Z929" s="20"/>
      <c r="AA929" s="20"/>
    </row>
    <row r="930" spans="1:27" ht="12.75" x14ac:dyDescent="0.2">
      <c r="A930" s="20"/>
      <c r="R930" s="20"/>
      <c r="S930" s="20"/>
      <c r="T930" s="20"/>
      <c r="U930" s="20"/>
      <c r="V930" s="20"/>
      <c r="W930" s="20"/>
      <c r="X930" s="20"/>
      <c r="Y930" s="20"/>
      <c r="Z930" s="20"/>
      <c r="AA930" s="20"/>
    </row>
    <row r="931" spans="1:27" ht="12.75" x14ac:dyDescent="0.2">
      <c r="A931" s="20"/>
      <c r="R931" s="20"/>
      <c r="S931" s="20"/>
      <c r="T931" s="20"/>
      <c r="U931" s="20"/>
      <c r="V931" s="20"/>
      <c r="W931" s="20"/>
      <c r="X931" s="20"/>
      <c r="Y931" s="20"/>
      <c r="Z931" s="20"/>
      <c r="AA931" s="20"/>
    </row>
    <row r="932" spans="1:27" ht="12.75" x14ac:dyDescent="0.2">
      <c r="A932" s="20"/>
      <c r="R932" s="20"/>
      <c r="S932" s="20"/>
      <c r="T932" s="20"/>
      <c r="U932" s="20"/>
      <c r="V932" s="20"/>
      <c r="W932" s="20"/>
      <c r="X932" s="20"/>
      <c r="Y932" s="20"/>
      <c r="Z932" s="20"/>
      <c r="AA932" s="20"/>
    </row>
    <row r="933" spans="1:27" ht="12.75" x14ac:dyDescent="0.2">
      <c r="A933" s="20"/>
      <c r="R933" s="20"/>
      <c r="S933" s="20"/>
      <c r="T933" s="20"/>
      <c r="U933" s="20"/>
      <c r="V933" s="20"/>
      <c r="W933" s="20"/>
      <c r="X933" s="20"/>
      <c r="Y933" s="20"/>
      <c r="Z933" s="20"/>
      <c r="AA933" s="20"/>
    </row>
    <row r="934" spans="1:27" ht="12.75" x14ac:dyDescent="0.2">
      <c r="A934" s="20"/>
      <c r="R934" s="20"/>
      <c r="S934" s="20"/>
      <c r="T934" s="20"/>
      <c r="U934" s="20"/>
      <c r="V934" s="20"/>
      <c r="W934" s="20"/>
      <c r="X934" s="20"/>
      <c r="Y934" s="20"/>
      <c r="Z934" s="20"/>
      <c r="AA934" s="20"/>
    </row>
    <row r="935" spans="1:27" ht="12.75" x14ac:dyDescent="0.2">
      <c r="A935" s="20"/>
      <c r="R935" s="20"/>
      <c r="S935" s="20"/>
      <c r="T935" s="20"/>
      <c r="U935" s="20"/>
      <c r="V935" s="20"/>
      <c r="W935" s="20"/>
      <c r="X935" s="20"/>
      <c r="Y935" s="20"/>
      <c r="Z935" s="20"/>
      <c r="AA935" s="20"/>
    </row>
    <row r="936" spans="1:27" ht="12.75" x14ac:dyDescent="0.2">
      <c r="A936" s="20"/>
      <c r="R936" s="20"/>
      <c r="S936" s="20"/>
      <c r="T936" s="20"/>
      <c r="U936" s="20"/>
      <c r="V936" s="20"/>
      <c r="W936" s="20"/>
      <c r="X936" s="20"/>
      <c r="Y936" s="20"/>
      <c r="Z936" s="20"/>
      <c r="AA936" s="20"/>
    </row>
    <row r="937" spans="1:27" ht="12.75" x14ac:dyDescent="0.2">
      <c r="A937" s="20"/>
      <c r="R937" s="20"/>
      <c r="S937" s="20"/>
      <c r="T937" s="20"/>
      <c r="U937" s="20"/>
      <c r="V937" s="20"/>
      <c r="W937" s="20"/>
      <c r="X937" s="20"/>
      <c r="Y937" s="20"/>
      <c r="Z937" s="20"/>
      <c r="AA937" s="20"/>
    </row>
    <row r="938" spans="1:27" ht="12.75" x14ac:dyDescent="0.2">
      <c r="A938" s="20"/>
      <c r="R938" s="20"/>
      <c r="S938" s="20"/>
      <c r="T938" s="20"/>
      <c r="U938" s="20"/>
      <c r="V938" s="20"/>
      <c r="W938" s="20"/>
      <c r="X938" s="20"/>
      <c r="Y938" s="20"/>
      <c r="Z938" s="20"/>
      <c r="AA938" s="20"/>
    </row>
    <row r="939" spans="1:27" ht="12.75" x14ac:dyDescent="0.2">
      <c r="A939" s="20"/>
      <c r="R939" s="20"/>
      <c r="S939" s="20"/>
      <c r="T939" s="20"/>
      <c r="U939" s="20"/>
      <c r="V939" s="20"/>
      <c r="W939" s="20"/>
      <c r="X939" s="20"/>
      <c r="Y939" s="20"/>
      <c r="Z939" s="20"/>
      <c r="AA939" s="20"/>
    </row>
    <row r="940" spans="1:27" ht="12.75" x14ac:dyDescent="0.2">
      <c r="A940" s="20"/>
      <c r="R940" s="20"/>
      <c r="S940" s="20"/>
      <c r="T940" s="20"/>
      <c r="U940" s="20"/>
      <c r="V940" s="20"/>
      <c r="W940" s="20"/>
      <c r="X940" s="20"/>
      <c r="Y940" s="20"/>
      <c r="Z940" s="20"/>
      <c r="AA940" s="20"/>
    </row>
    <row r="941" spans="1:27" ht="12.75" x14ac:dyDescent="0.2">
      <c r="A941" s="20"/>
      <c r="R941" s="20"/>
      <c r="S941" s="20"/>
      <c r="T941" s="20"/>
      <c r="U941" s="20"/>
      <c r="V941" s="20"/>
      <c r="W941" s="20"/>
      <c r="X941" s="20"/>
      <c r="Y941" s="20"/>
      <c r="Z941" s="20"/>
      <c r="AA941" s="20"/>
    </row>
    <row r="942" spans="1:27" ht="12.75" x14ac:dyDescent="0.2">
      <c r="A942" s="20"/>
      <c r="R942" s="20"/>
      <c r="S942" s="20"/>
      <c r="T942" s="20"/>
      <c r="U942" s="20"/>
      <c r="V942" s="20"/>
      <c r="W942" s="20"/>
      <c r="X942" s="20"/>
      <c r="Y942" s="20"/>
      <c r="Z942" s="20"/>
      <c r="AA942" s="20"/>
    </row>
    <row r="943" spans="1:27" ht="12.75" x14ac:dyDescent="0.2">
      <c r="A943" s="20"/>
      <c r="R943" s="20"/>
      <c r="S943" s="20"/>
      <c r="T943" s="20"/>
      <c r="U943" s="20"/>
      <c r="V943" s="20"/>
      <c r="W943" s="20"/>
      <c r="X943" s="20"/>
      <c r="Y943" s="20"/>
      <c r="Z943" s="20"/>
      <c r="AA943" s="20"/>
    </row>
    <row r="944" spans="1:27" ht="12.75" x14ac:dyDescent="0.2">
      <c r="A944" s="20"/>
      <c r="R944" s="20"/>
      <c r="S944" s="20"/>
      <c r="T944" s="20"/>
      <c r="U944" s="20"/>
      <c r="V944" s="20"/>
      <c r="W944" s="20"/>
      <c r="X944" s="20"/>
      <c r="Y944" s="20"/>
      <c r="Z944" s="20"/>
      <c r="AA944" s="20"/>
    </row>
    <row r="945" spans="1:27" ht="12.75" x14ac:dyDescent="0.2">
      <c r="A945" s="20"/>
      <c r="R945" s="20"/>
      <c r="S945" s="20"/>
      <c r="T945" s="20"/>
      <c r="U945" s="20"/>
      <c r="V945" s="20"/>
      <c r="W945" s="20"/>
      <c r="X945" s="20"/>
      <c r="Y945" s="20"/>
      <c r="Z945" s="20"/>
      <c r="AA945" s="20"/>
    </row>
    <row r="946" spans="1:27" ht="12.75" x14ac:dyDescent="0.2">
      <c r="A946" s="20"/>
      <c r="R946" s="20"/>
      <c r="S946" s="20"/>
      <c r="T946" s="20"/>
      <c r="U946" s="20"/>
      <c r="V946" s="20"/>
      <c r="W946" s="20"/>
      <c r="X946" s="20"/>
      <c r="Y946" s="20"/>
      <c r="Z946" s="20"/>
      <c r="AA946" s="20"/>
    </row>
    <row r="947" spans="1:27" ht="12.75" x14ac:dyDescent="0.2">
      <c r="A947" s="20"/>
      <c r="R947" s="20"/>
      <c r="S947" s="20"/>
      <c r="T947" s="20"/>
      <c r="U947" s="20"/>
      <c r="V947" s="20"/>
      <c r="W947" s="20"/>
      <c r="X947" s="20"/>
      <c r="Y947" s="20"/>
      <c r="Z947" s="20"/>
      <c r="AA947" s="20"/>
    </row>
    <row r="948" spans="1:27" ht="12.75" x14ac:dyDescent="0.2">
      <c r="A948" s="20"/>
      <c r="R948" s="20"/>
      <c r="S948" s="20"/>
      <c r="T948" s="20"/>
      <c r="U948" s="20"/>
      <c r="V948" s="20"/>
      <c r="W948" s="20"/>
      <c r="X948" s="20"/>
      <c r="Y948" s="20"/>
      <c r="Z948" s="20"/>
      <c r="AA948" s="20"/>
    </row>
    <row r="949" spans="1:27" ht="12.75" x14ac:dyDescent="0.2">
      <c r="A949" s="20"/>
      <c r="R949" s="20"/>
      <c r="S949" s="20"/>
      <c r="T949" s="20"/>
      <c r="U949" s="20"/>
      <c r="V949" s="20"/>
      <c r="W949" s="20"/>
      <c r="X949" s="20"/>
      <c r="Y949" s="20"/>
      <c r="Z949" s="20"/>
      <c r="AA949" s="20"/>
    </row>
    <row r="950" spans="1:27" ht="12.75" x14ac:dyDescent="0.2">
      <c r="A950" s="20"/>
      <c r="R950" s="20"/>
      <c r="S950" s="20"/>
      <c r="T950" s="20"/>
      <c r="U950" s="20"/>
      <c r="V950" s="20"/>
      <c r="W950" s="20"/>
      <c r="X950" s="20"/>
      <c r="Y950" s="20"/>
      <c r="Z950" s="20"/>
      <c r="AA950" s="20"/>
    </row>
    <row r="951" spans="1:27" ht="12.75" x14ac:dyDescent="0.2">
      <c r="A951" s="20"/>
      <c r="R951" s="20"/>
      <c r="S951" s="20"/>
      <c r="T951" s="20"/>
      <c r="U951" s="20"/>
      <c r="V951" s="20"/>
      <c r="W951" s="20"/>
      <c r="X951" s="20"/>
      <c r="Y951" s="20"/>
      <c r="Z951" s="20"/>
      <c r="AA951" s="20"/>
    </row>
    <row r="952" spans="1:27" ht="12.75" x14ac:dyDescent="0.2">
      <c r="A952" s="20"/>
      <c r="R952" s="20"/>
      <c r="S952" s="20"/>
      <c r="T952" s="20"/>
      <c r="U952" s="20"/>
      <c r="V952" s="20"/>
      <c r="W952" s="20"/>
      <c r="X952" s="20"/>
      <c r="Y952" s="20"/>
      <c r="Z952" s="20"/>
      <c r="AA952" s="20"/>
    </row>
    <row r="953" spans="1:27" ht="12.75" x14ac:dyDescent="0.2">
      <c r="A953" s="20"/>
      <c r="R953" s="20"/>
      <c r="S953" s="20"/>
      <c r="T953" s="20"/>
      <c r="U953" s="20"/>
      <c r="V953" s="20"/>
      <c r="W953" s="20"/>
      <c r="X953" s="20"/>
      <c r="Y953" s="20"/>
      <c r="Z953" s="20"/>
      <c r="AA953" s="20"/>
    </row>
    <row r="954" spans="1:27" ht="12.75" x14ac:dyDescent="0.2">
      <c r="A954" s="20"/>
      <c r="R954" s="20"/>
      <c r="S954" s="20"/>
      <c r="T954" s="20"/>
      <c r="U954" s="20"/>
      <c r="V954" s="20"/>
      <c r="W954" s="20"/>
      <c r="X954" s="20"/>
      <c r="Y954" s="20"/>
      <c r="Z954" s="20"/>
      <c r="AA954" s="20"/>
    </row>
    <row r="955" spans="1:27" ht="12.75" x14ac:dyDescent="0.2">
      <c r="A955" s="20"/>
      <c r="R955" s="20"/>
      <c r="S955" s="20"/>
      <c r="T955" s="20"/>
      <c r="U955" s="20"/>
      <c r="V955" s="20"/>
      <c r="W955" s="20"/>
      <c r="X955" s="20"/>
      <c r="Y955" s="20"/>
      <c r="Z955" s="20"/>
      <c r="AA955" s="20"/>
    </row>
    <row r="956" spans="1:27" ht="12.75" x14ac:dyDescent="0.2">
      <c r="A956" s="20"/>
      <c r="R956" s="20"/>
      <c r="S956" s="20"/>
      <c r="T956" s="20"/>
      <c r="U956" s="20"/>
      <c r="V956" s="20"/>
      <c r="W956" s="20"/>
      <c r="X956" s="20"/>
      <c r="Y956" s="20"/>
      <c r="Z956" s="20"/>
      <c r="AA956" s="20"/>
    </row>
    <row r="957" spans="1:27" ht="12.75" x14ac:dyDescent="0.2">
      <c r="A957" s="20"/>
      <c r="R957" s="20"/>
      <c r="S957" s="20"/>
      <c r="T957" s="20"/>
      <c r="U957" s="20"/>
      <c r="V957" s="20"/>
      <c r="W957" s="20"/>
      <c r="X957" s="20"/>
      <c r="Y957" s="20"/>
      <c r="Z957" s="20"/>
      <c r="AA957" s="20"/>
    </row>
    <row r="958" spans="1:27" ht="12.75" x14ac:dyDescent="0.2">
      <c r="A958" s="20"/>
      <c r="R958" s="20"/>
      <c r="S958" s="20"/>
      <c r="T958" s="20"/>
      <c r="U958" s="20"/>
      <c r="V958" s="20"/>
      <c r="W958" s="20"/>
      <c r="X958" s="20"/>
      <c r="Y958" s="20"/>
      <c r="Z958" s="20"/>
      <c r="AA958" s="20"/>
    </row>
    <row r="959" spans="1:27" ht="12.75" x14ac:dyDescent="0.2">
      <c r="A959" s="20"/>
      <c r="R959" s="20"/>
      <c r="S959" s="20"/>
      <c r="T959" s="20"/>
      <c r="U959" s="20"/>
      <c r="V959" s="20"/>
      <c r="W959" s="20"/>
      <c r="X959" s="20"/>
      <c r="Y959" s="20"/>
      <c r="Z959" s="20"/>
      <c r="AA959" s="20"/>
    </row>
    <row r="960" spans="1:27" ht="12.75" x14ac:dyDescent="0.2">
      <c r="A960" s="20"/>
      <c r="R960" s="20"/>
      <c r="S960" s="20"/>
      <c r="T960" s="20"/>
      <c r="U960" s="20"/>
      <c r="V960" s="20"/>
      <c r="W960" s="20"/>
      <c r="X960" s="20"/>
      <c r="Y960" s="20"/>
      <c r="Z960" s="20"/>
      <c r="AA960" s="20"/>
    </row>
    <row r="961" spans="1:27" ht="12.75" x14ac:dyDescent="0.2">
      <c r="A961" s="20"/>
      <c r="R961" s="20"/>
      <c r="S961" s="20"/>
      <c r="T961" s="20"/>
      <c r="U961" s="20"/>
      <c r="V961" s="20"/>
      <c r="W961" s="20"/>
      <c r="X961" s="20"/>
      <c r="Y961" s="20"/>
      <c r="Z961" s="20"/>
      <c r="AA961" s="20"/>
    </row>
    <row r="962" spans="1:27" ht="12.75" x14ac:dyDescent="0.2">
      <c r="A962" s="20"/>
      <c r="R962" s="20"/>
      <c r="S962" s="20"/>
      <c r="T962" s="20"/>
      <c r="U962" s="20"/>
      <c r="V962" s="20"/>
      <c r="W962" s="20"/>
      <c r="X962" s="20"/>
      <c r="Y962" s="20"/>
      <c r="Z962" s="20"/>
      <c r="AA962" s="20"/>
    </row>
    <row r="963" spans="1:27" ht="12.75" x14ac:dyDescent="0.2">
      <c r="A963" s="20"/>
      <c r="R963" s="20"/>
      <c r="S963" s="20"/>
      <c r="T963" s="20"/>
      <c r="U963" s="20"/>
      <c r="V963" s="20"/>
      <c r="W963" s="20"/>
      <c r="X963" s="20"/>
      <c r="Y963" s="20"/>
      <c r="Z963" s="20"/>
      <c r="AA963" s="20"/>
    </row>
    <row r="964" spans="1:27" ht="12.75" x14ac:dyDescent="0.2">
      <c r="A964" s="20"/>
      <c r="R964" s="20"/>
      <c r="S964" s="20"/>
      <c r="T964" s="20"/>
      <c r="U964" s="20"/>
      <c r="V964" s="20"/>
      <c r="W964" s="20"/>
      <c r="X964" s="20"/>
      <c r="Y964" s="20"/>
      <c r="Z964" s="20"/>
      <c r="AA964" s="20"/>
    </row>
    <row r="965" spans="1:27" ht="12.75" x14ac:dyDescent="0.2">
      <c r="A965" s="20"/>
      <c r="R965" s="20"/>
      <c r="S965" s="20"/>
      <c r="T965" s="20"/>
      <c r="U965" s="20"/>
      <c r="V965" s="20"/>
      <c r="W965" s="20"/>
      <c r="X965" s="20"/>
      <c r="Y965" s="20"/>
      <c r="Z965" s="20"/>
      <c r="AA965" s="20"/>
    </row>
    <row r="966" spans="1:27" ht="12.75" x14ac:dyDescent="0.2">
      <c r="A966" s="20"/>
      <c r="R966" s="20"/>
      <c r="S966" s="20"/>
      <c r="T966" s="20"/>
      <c r="U966" s="20"/>
      <c r="V966" s="20"/>
      <c r="W966" s="20"/>
      <c r="X966" s="20"/>
      <c r="Y966" s="20"/>
      <c r="Z966" s="20"/>
      <c r="AA966" s="20"/>
    </row>
    <row r="967" spans="1:27" ht="12.75" x14ac:dyDescent="0.2">
      <c r="A967" s="20"/>
      <c r="R967" s="20"/>
      <c r="S967" s="20"/>
      <c r="T967" s="20"/>
      <c r="U967" s="20"/>
      <c r="V967" s="20"/>
      <c r="W967" s="20"/>
      <c r="X967" s="20"/>
      <c r="Y967" s="20"/>
      <c r="Z967" s="20"/>
      <c r="AA967" s="20"/>
    </row>
    <row r="968" spans="1:27" ht="12.75" x14ac:dyDescent="0.2">
      <c r="A968" s="20"/>
      <c r="R968" s="20"/>
      <c r="S968" s="20"/>
      <c r="T968" s="20"/>
      <c r="U968" s="20"/>
      <c r="V968" s="20"/>
      <c r="W968" s="20"/>
      <c r="X968" s="20"/>
      <c r="Y968" s="20"/>
      <c r="Z968" s="20"/>
      <c r="AA968" s="20"/>
    </row>
    <row r="969" spans="1:27" ht="12.75" x14ac:dyDescent="0.2">
      <c r="A969" s="20"/>
      <c r="R969" s="20"/>
      <c r="S969" s="20"/>
      <c r="T969" s="20"/>
      <c r="U969" s="20"/>
      <c r="V969" s="20"/>
      <c r="W969" s="20"/>
      <c r="X969" s="20"/>
      <c r="Y969" s="20"/>
      <c r="Z969" s="20"/>
      <c r="AA969" s="20"/>
    </row>
    <row r="970" spans="1:27" ht="12.75" x14ac:dyDescent="0.2">
      <c r="A970" s="20"/>
      <c r="R970" s="20"/>
      <c r="S970" s="20"/>
      <c r="T970" s="20"/>
      <c r="U970" s="20"/>
      <c r="V970" s="20"/>
      <c r="W970" s="20"/>
      <c r="X970" s="20"/>
      <c r="Y970" s="20"/>
      <c r="Z970" s="20"/>
      <c r="AA970" s="20"/>
    </row>
    <row r="971" spans="1:27" ht="12.75" x14ac:dyDescent="0.2">
      <c r="A971" s="20"/>
      <c r="R971" s="20"/>
      <c r="S971" s="20"/>
      <c r="T971" s="20"/>
      <c r="U971" s="20"/>
      <c r="V971" s="20"/>
      <c r="W971" s="20"/>
      <c r="X971" s="20"/>
      <c r="Y971" s="20"/>
      <c r="Z971" s="20"/>
      <c r="AA971" s="20"/>
    </row>
    <row r="972" spans="1:27" ht="12.75" x14ac:dyDescent="0.2">
      <c r="A972" s="20"/>
      <c r="R972" s="20"/>
      <c r="S972" s="20"/>
      <c r="T972" s="20"/>
      <c r="U972" s="20"/>
      <c r="V972" s="20"/>
      <c r="W972" s="20"/>
      <c r="X972" s="20"/>
      <c r="Y972" s="20"/>
      <c r="Z972" s="20"/>
      <c r="AA972" s="20"/>
    </row>
    <row r="973" spans="1:27" ht="12.75" x14ac:dyDescent="0.2">
      <c r="A973" s="20"/>
      <c r="R973" s="20"/>
      <c r="S973" s="20"/>
      <c r="T973" s="20"/>
      <c r="U973" s="20"/>
      <c r="V973" s="20"/>
      <c r="W973" s="20"/>
      <c r="X973" s="20"/>
      <c r="Y973" s="20"/>
      <c r="Z973" s="20"/>
      <c r="AA973" s="20"/>
    </row>
    <row r="974" spans="1:27" ht="12.75" x14ac:dyDescent="0.2">
      <c r="A974" s="20"/>
      <c r="R974" s="20"/>
      <c r="S974" s="20"/>
      <c r="T974" s="20"/>
      <c r="U974" s="20"/>
      <c r="V974" s="20"/>
      <c r="W974" s="20"/>
      <c r="X974" s="20"/>
      <c r="Y974" s="20"/>
      <c r="Z974" s="20"/>
      <c r="AA974" s="20"/>
    </row>
    <row r="975" spans="1:27" ht="12.75" x14ac:dyDescent="0.2">
      <c r="A975" s="20"/>
      <c r="R975" s="20"/>
      <c r="S975" s="20"/>
      <c r="T975" s="20"/>
      <c r="U975" s="20"/>
      <c r="V975" s="20"/>
      <c r="W975" s="20"/>
      <c r="X975" s="20"/>
      <c r="Y975" s="20"/>
      <c r="Z975" s="20"/>
      <c r="AA975" s="20"/>
    </row>
    <row r="976" spans="1:27" ht="12.75" x14ac:dyDescent="0.2">
      <c r="A976" s="20"/>
      <c r="R976" s="20"/>
      <c r="S976" s="20"/>
      <c r="T976" s="20"/>
      <c r="U976" s="20"/>
      <c r="V976" s="20"/>
      <c r="W976" s="20"/>
      <c r="X976" s="20"/>
      <c r="Y976" s="20"/>
      <c r="Z976" s="20"/>
      <c r="AA976" s="20"/>
    </row>
    <row r="977" spans="1:27" ht="12.75" x14ac:dyDescent="0.2">
      <c r="A977" s="20"/>
      <c r="R977" s="20"/>
      <c r="S977" s="20"/>
      <c r="T977" s="20"/>
      <c r="U977" s="20"/>
      <c r="V977" s="20"/>
      <c r="W977" s="20"/>
      <c r="X977" s="20"/>
      <c r="Y977" s="20"/>
      <c r="Z977" s="20"/>
      <c r="AA977" s="20"/>
    </row>
    <row r="978" spans="1:27" ht="12.75" x14ac:dyDescent="0.2">
      <c r="A978" s="20"/>
      <c r="R978" s="20"/>
      <c r="S978" s="20"/>
      <c r="T978" s="20"/>
      <c r="U978" s="20"/>
      <c r="V978" s="20"/>
      <c r="W978" s="20"/>
      <c r="X978" s="20"/>
      <c r="Y978" s="20"/>
      <c r="Z978" s="20"/>
      <c r="AA978" s="20"/>
    </row>
    <row r="979" spans="1:27" ht="12.75" x14ac:dyDescent="0.2">
      <c r="A979" s="20"/>
      <c r="R979" s="20"/>
      <c r="S979" s="20"/>
      <c r="T979" s="20"/>
      <c r="U979" s="20"/>
      <c r="V979" s="20"/>
      <c r="W979" s="20"/>
      <c r="X979" s="20"/>
      <c r="Y979" s="20"/>
      <c r="Z979" s="20"/>
      <c r="AA979" s="20"/>
    </row>
    <row r="980" spans="1:27" ht="12.75" x14ac:dyDescent="0.2">
      <c r="A980" s="20"/>
      <c r="R980" s="20"/>
      <c r="S980" s="20"/>
      <c r="T980" s="20"/>
      <c r="U980" s="20"/>
      <c r="V980" s="20"/>
      <c r="W980" s="20"/>
      <c r="X980" s="20"/>
      <c r="Y980" s="20"/>
      <c r="Z980" s="20"/>
      <c r="AA980" s="20"/>
    </row>
    <row r="981" spans="1:27" ht="12.75" x14ac:dyDescent="0.2">
      <c r="A981" s="20"/>
      <c r="R981" s="20"/>
      <c r="S981" s="20"/>
      <c r="T981" s="20"/>
      <c r="U981" s="20"/>
      <c r="V981" s="20"/>
      <c r="W981" s="20"/>
      <c r="X981" s="20"/>
      <c r="Y981" s="20"/>
      <c r="Z981" s="20"/>
      <c r="AA981" s="20"/>
    </row>
    <row r="982" spans="1:27" ht="12.75" x14ac:dyDescent="0.2">
      <c r="A982" s="20"/>
      <c r="R982" s="20"/>
      <c r="S982" s="20"/>
      <c r="T982" s="20"/>
      <c r="U982" s="20"/>
      <c r="V982" s="20"/>
      <c r="W982" s="20"/>
      <c r="X982" s="20"/>
      <c r="Y982" s="20"/>
      <c r="Z982" s="20"/>
      <c r="AA982" s="20"/>
    </row>
    <row r="983" spans="1:27" ht="12.75" x14ac:dyDescent="0.2">
      <c r="A983" s="20"/>
      <c r="R983" s="20"/>
      <c r="S983" s="20"/>
      <c r="T983" s="20"/>
      <c r="U983" s="20"/>
      <c r="V983" s="20"/>
      <c r="W983" s="20"/>
      <c r="X983" s="20"/>
      <c r="Y983" s="20"/>
      <c r="Z983" s="20"/>
      <c r="AA983" s="20"/>
    </row>
    <row r="984" spans="1:27" ht="12.75" x14ac:dyDescent="0.2">
      <c r="A984" s="20"/>
      <c r="R984" s="20"/>
      <c r="S984" s="20"/>
      <c r="T984" s="20"/>
      <c r="U984" s="20"/>
      <c r="V984" s="20"/>
      <c r="W984" s="20"/>
      <c r="X984" s="20"/>
      <c r="Y984" s="20"/>
      <c r="Z984" s="20"/>
      <c r="AA984" s="20"/>
    </row>
    <row r="985" spans="1:27" ht="12.75" x14ac:dyDescent="0.2">
      <c r="A985" s="20"/>
      <c r="R985" s="20"/>
      <c r="S985" s="20"/>
      <c r="T985" s="20"/>
      <c r="U985" s="20"/>
      <c r="V985" s="20"/>
      <c r="W985" s="20"/>
      <c r="X985" s="20"/>
      <c r="Y985" s="20"/>
      <c r="Z985" s="20"/>
      <c r="AA985" s="20"/>
    </row>
    <row r="986" spans="1:27" ht="12.75" x14ac:dyDescent="0.2">
      <c r="A986" s="20"/>
      <c r="R986" s="20"/>
      <c r="S986" s="20"/>
      <c r="T986" s="20"/>
      <c r="U986" s="20"/>
      <c r="V986" s="20"/>
      <c r="W986" s="20"/>
      <c r="X986" s="20"/>
      <c r="Y986" s="20"/>
      <c r="Z986" s="20"/>
      <c r="AA986" s="20"/>
    </row>
    <row r="987" spans="1:27" ht="12.75" x14ac:dyDescent="0.2">
      <c r="A987" s="20"/>
      <c r="R987" s="20"/>
      <c r="S987" s="20"/>
      <c r="T987" s="20"/>
      <c r="U987" s="20"/>
      <c r="V987" s="20"/>
      <c r="W987" s="20"/>
      <c r="X987" s="20"/>
      <c r="Y987" s="20"/>
      <c r="Z987" s="20"/>
      <c r="AA987" s="20"/>
    </row>
    <row r="988" spans="1:27" ht="12.75" x14ac:dyDescent="0.2">
      <c r="A988" s="20"/>
      <c r="R988" s="20"/>
      <c r="S988" s="20"/>
      <c r="T988" s="20"/>
      <c r="U988" s="20"/>
      <c r="V988" s="20"/>
      <c r="W988" s="20"/>
      <c r="X988" s="20"/>
      <c r="Y988" s="20"/>
      <c r="Z988" s="20"/>
      <c r="AA988" s="20"/>
    </row>
    <row r="989" spans="1:27" ht="12.75" x14ac:dyDescent="0.2">
      <c r="A989" s="20"/>
      <c r="R989" s="20"/>
      <c r="S989" s="20"/>
      <c r="T989" s="20"/>
      <c r="U989" s="20"/>
      <c r="V989" s="20"/>
      <c r="W989" s="20"/>
      <c r="X989" s="20"/>
      <c r="Y989" s="20"/>
      <c r="Z989" s="20"/>
      <c r="AA989" s="20"/>
    </row>
    <row r="990" spans="1:27" ht="12.75" x14ac:dyDescent="0.2">
      <c r="A990" s="20"/>
      <c r="R990" s="20"/>
      <c r="S990" s="20"/>
      <c r="T990" s="20"/>
      <c r="U990" s="20"/>
      <c r="V990" s="20"/>
      <c r="W990" s="20"/>
      <c r="X990" s="20"/>
      <c r="Y990" s="20"/>
      <c r="Z990" s="20"/>
      <c r="AA990" s="20"/>
    </row>
    <row r="991" spans="1:27" ht="12.75" x14ac:dyDescent="0.2">
      <c r="A991" s="20"/>
      <c r="R991" s="20"/>
      <c r="S991" s="20"/>
      <c r="T991" s="20"/>
      <c r="U991" s="20"/>
      <c r="V991" s="20"/>
      <c r="W991" s="20"/>
      <c r="X991" s="20"/>
      <c r="Y991" s="20"/>
      <c r="Z991" s="20"/>
      <c r="AA991" s="20"/>
    </row>
    <row r="992" spans="1:27" ht="12.75" x14ac:dyDescent="0.2">
      <c r="A992" s="20"/>
      <c r="R992" s="20"/>
      <c r="S992" s="20"/>
      <c r="T992" s="20"/>
      <c r="U992" s="20"/>
      <c r="V992" s="20"/>
      <c r="W992" s="20"/>
      <c r="X992" s="20"/>
      <c r="Y992" s="20"/>
      <c r="Z992" s="20"/>
      <c r="AA992" s="20"/>
    </row>
    <row r="993" spans="1:27" ht="12.75" x14ac:dyDescent="0.2">
      <c r="A993" s="20"/>
      <c r="R993" s="20"/>
      <c r="S993" s="20"/>
      <c r="T993" s="20"/>
      <c r="U993" s="20"/>
      <c r="V993" s="20"/>
      <c r="W993" s="20"/>
      <c r="X993" s="20"/>
      <c r="Y993" s="20"/>
      <c r="Z993" s="20"/>
      <c r="AA993" s="20"/>
    </row>
    <row r="994" spans="1:27" ht="12.75" x14ac:dyDescent="0.2">
      <c r="A994" s="20"/>
      <c r="R994" s="20"/>
      <c r="S994" s="20"/>
      <c r="T994" s="20"/>
      <c r="U994" s="20"/>
      <c r="V994" s="20"/>
      <c r="W994" s="20"/>
      <c r="X994" s="20"/>
      <c r="Y994" s="20"/>
      <c r="Z994" s="20"/>
      <c r="AA994" s="20"/>
    </row>
    <row r="995" spans="1:27" ht="12.75" x14ac:dyDescent="0.2">
      <c r="A995" s="20"/>
      <c r="R995" s="20"/>
      <c r="S995" s="20"/>
      <c r="T995" s="20"/>
      <c r="U995" s="20"/>
      <c r="V995" s="20"/>
      <c r="W995" s="20"/>
      <c r="X995" s="20"/>
      <c r="Y995" s="20"/>
      <c r="Z995" s="20"/>
      <c r="AA995" s="20"/>
    </row>
    <row r="996" spans="1:27" ht="12.75" x14ac:dyDescent="0.2">
      <c r="A996" s="20"/>
      <c r="R996" s="20"/>
      <c r="S996" s="20"/>
      <c r="T996" s="20"/>
      <c r="U996" s="20"/>
      <c r="V996" s="20"/>
      <c r="W996" s="20"/>
      <c r="X996" s="20"/>
      <c r="Y996" s="20"/>
      <c r="Z996" s="20"/>
      <c r="AA996" s="20"/>
    </row>
    <row r="997" spans="1:27" ht="12.75" x14ac:dyDescent="0.2">
      <c r="A997" s="20"/>
      <c r="R997" s="20"/>
      <c r="S997" s="20"/>
      <c r="T997" s="20"/>
      <c r="U997" s="20"/>
      <c r="V997" s="20"/>
      <c r="W997" s="20"/>
      <c r="X997" s="20"/>
      <c r="Y997" s="20"/>
      <c r="Z997" s="20"/>
      <c r="AA997" s="20"/>
    </row>
    <row r="998" spans="1:27" ht="12.75" x14ac:dyDescent="0.2">
      <c r="A998" s="20"/>
      <c r="R998" s="20"/>
      <c r="S998" s="20"/>
      <c r="T998" s="20"/>
      <c r="U998" s="20"/>
      <c r="V998" s="20"/>
      <c r="W998" s="20"/>
      <c r="X998" s="20"/>
      <c r="Y998" s="20"/>
      <c r="Z998" s="20"/>
      <c r="AA998" s="20"/>
    </row>
    <row r="999" spans="1:27" ht="12.75" x14ac:dyDescent="0.2">
      <c r="A999" s="20"/>
      <c r="R999" s="20"/>
      <c r="S999" s="20"/>
      <c r="T999" s="20"/>
      <c r="U999" s="20"/>
      <c r="V999" s="20"/>
      <c r="W999" s="20"/>
      <c r="X999" s="20"/>
      <c r="Y999" s="20"/>
      <c r="Z999" s="20"/>
      <c r="AA999" s="20"/>
    </row>
    <row r="1000" spans="1:27" ht="12.75" x14ac:dyDescent="0.2">
      <c r="A1000" s="20"/>
      <c r="R1000" s="20"/>
      <c r="S1000" s="20"/>
      <c r="T1000" s="20"/>
      <c r="U1000" s="20"/>
      <c r="V1000" s="20"/>
      <c r="W1000" s="20"/>
      <c r="X1000" s="20"/>
      <c r="Y1000" s="20"/>
      <c r="Z1000" s="20"/>
      <c r="AA1000" s="20"/>
    </row>
  </sheetData>
  <mergeCells count="8">
    <mergeCell ref="L155:P155"/>
    <mergeCell ref="B1:Q2"/>
    <mergeCell ref="L5:P5"/>
    <mergeCell ref="L25:P25"/>
    <mergeCell ref="L51:P51"/>
    <mergeCell ref="L77:P77"/>
    <mergeCell ref="L103:P103"/>
    <mergeCell ref="L129:P129"/>
  </mergeCells>
  <pageMargins left="0.7" right="0.7" top="0.75" bottom="0.75" header="0.3" footer="0.3"/>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P151"/>
  <sheetViews>
    <sheetView workbookViewId="0">
      <selection activeCell="J27" sqref="J27"/>
    </sheetView>
  </sheetViews>
  <sheetFormatPr defaultColWidth="12.5703125" defaultRowHeight="15.75" customHeight="1" x14ac:dyDescent="0.2"/>
  <cols>
    <col min="1" max="1" width="12.5703125" style="21"/>
    <col min="2" max="2" width="24.42578125" style="21" customWidth="1"/>
    <col min="3" max="3" width="69.140625" style="21" customWidth="1"/>
    <col min="4" max="7" width="12.5703125" style="21"/>
    <col min="8" max="8" width="35.28515625" style="21" customWidth="1"/>
    <col min="9" max="9" width="83.140625" style="21" customWidth="1"/>
    <col min="10" max="13" width="12.5703125" style="21"/>
    <col min="14" max="14" width="21.28515625" style="21" customWidth="1"/>
    <col min="15" max="15" width="18.42578125" style="21" customWidth="1"/>
    <col min="16" max="16" width="25.42578125" style="21" customWidth="1"/>
    <col min="17" max="16384" width="12.5703125" style="21"/>
  </cols>
  <sheetData>
    <row r="1" spans="1:16" ht="38.25" x14ac:dyDescent="0.2">
      <c r="A1" s="25" t="s">
        <v>360</v>
      </c>
      <c r="B1" s="26"/>
      <c r="C1" s="26"/>
      <c r="D1" s="26"/>
      <c r="E1" s="26"/>
      <c r="F1" s="26"/>
      <c r="G1" s="26"/>
      <c r="H1" s="26"/>
      <c r="I1" s="26"/>
      <c r="J1" s="26"/>
      <c r="K1" s="26"/>
    </row>
    <row r="2" spans="1:16" ht="22.5" customHeight="1" x14ac:dyDescent="0.4">
      <c r="A2" s="27" t="s">
        <v>361</v>
      </c>
      <c r="B2" s="26"/>
      <c r="C2" s="26"/>
      <c r="D2" s="26"/>
      <c r="E2" s="26"/>
      <c r="F2" s="26"/>
      <c r="G2" s="26"/>
      <c r="H2" s="26"/>
      <c r="I2" s="26"/>
      <c r="J2" s="26"/>
      <c r="K2" s="26"/>
      <c r="N2" s="15" t="s">
        <v>17</v>
      </c>
      <c r="O2" s="15" t="s">
        <v>18</v>
      </c>
      <c r="P2" s="15" t="s">
        <v>3</v>
      </c>
    </row>
    <row r="3" spans="1:16" ht="22.5" customHeight="1" x14ac:dyDescent="0.2">
      <c r="A3" s="1"/>
      <c r="B3" s="1"/>
      <c r="C3" s="2"/>
      <c r="D3" s="1"/>
      <c r="E3" s="2"/>
      <c r="F3" s="1"/>
      <c r="G3" s="1"/>
      <c r="H3" s="1"/>
      <c r="I3" s="2"/>
      <c r="J3" s="1"/>
      <c r="K3" s="2"/>
      <c r="N3" s="18" t="s">
        <v>19</v>
      </c>
      <c r="O3" s="18">
        <f>Detailed_Analysis_2[[#Totals],[Step Num]]</f>
        <v>80</v>
      </c>
      <c r="P3" s="18">
        <f>Detailed_Analysis_2[[#Totals],[Effort Hours (hrs)]]</f>
        <v>3080</v>
      </c>
    </row>
    <row r="4" spans="1:16" ht="22.5" customHeight="1" x14ac:dyDescent="0.2">
      <c r="A4" s="1"/>
      <c r="B4" s="1"/>
      <c r="C4" s="2"/>
      <c r="D4" s="1"/>
      <c r="E4" s="2"/>
      <c r="F4" s="1"/>
      <c r="G4" s="1"/>
      <c r="H4" s="1"/>
      <c r="I4" s="2"/>
      <c r="J4" s="1"/>
      <c r="K4" s="2"/>
      <c r="N4" s="18" t="s">
        <v>20</v>
      </c>
      <c r="O4" s="18">
        <f>Streamlined_Analysis_2[[#Totals],[Step Num]]</f>
        <v>11</v>
      </c>
      <c r="P4" s="18">
        <f>Streamlined_Analysis_2[[#Totals],[Effort Hours (hrs)]]</f>
        <v>632</v>
      </c>
    </row>
    <row r="5" spans="1:16" ht="12.75" x14ac:dyDescent="0.2">
      <c r="A5" s="1"/>
      <c r="B5" s="1"/>
      <c r="C5" s="2"/>
      <c r="D5" s="1"/>
      <c r="E5" s="2"/>
      <c r="F5" s="1"/>
      <c r="G5" s="1"/>
      <c r="H5" s="1"/>
      <c r="I5" s="2"/>
      <c r="J5" s="1"/>
      <c r="K5" s="2"/>
    </row>
    <row r="6" spans="1:16" ht="28.5" customHeight="1" x14ac:dyDescent="0.2">
      <c r="A6" s="15" t="s">
        <v>21</v>
      </c>
      <c r="B6" s="15" t="s">
        <v>22</v>
      </c>
      <c r="C6" s="16" t="s">
        <v>23</v>
      </c>
      <c r="D6" s="15" t="s">
        <v>24</v>
      </c>
      <c r="E6" s="16" t="s">
        <v>3</v>
      </c>
      <c r="F6" s="1"/>
      <c r="G6" s="15" t="s">
        <v>21</v>
      </c>
      <c r="H6" s="15" t="s">
        <v>22</v>
      </c>
      <c r="I6" s="16" t="s">
        <v>23</v>
      </c>
      <c r="J6" s="15" t="s">
        <v>24</v>
      </c>
      <c r="K6" s="16" t="s">
        <v>3</v>
      </c>
    </row>
    <row r="7" spans="1:16" ht="22.5" customHeight="1" x14ac:dyDescent="0.2">
      <c r="A7" s="4">
        <v>7.1</v>
      </c>
      <c r="B7" s="5" t="s">
        <v>362</v>
      </c>
      <c r="C7" s="5" t="s">
        <v>363</v>
      </c>
      <c r="D7" s="7" t="s">
        <v>27</v>
      </c>
      <c r="E7" s="6">
        <f t="shared" ref="E7:E86" si="0">IF(D7="LOW", 16, IF(D7="MEDIUM", 40, IF(D7="HIGH", 100, "")))</f>
        <v>16</v>
      </c>
      <c r="F7" s="1"/>
      <c r="G7" s="4">
        <v>7.1</v>
      </c>
      <c r="H7" s="5" t="s">
        <v>364</v>
      </c>
      <c r="I7" s="5" t="s">
        <v>365</v>
      </c>
      <c r="J7" s="7" t="s">
        <v>30</v>
      </c>
      <c r="K7" s="6">
        <f t="shared" ref="K7:K17" si="1">IF(J7="LOW", 16, IF(J7="MEDIUM", 40, IF(J7="HIGH", 100, "")))</f>
        <v>40</v>
      </c>
    </row>
    <row r="8" spans="1:16" ht="22.5" customHeight="1" x14ac:dyDescent="0.2">
      <c r="A8" s="4">
        <v>7.2</v>
      </c>
      <c r="B8" s="5" t="s">
        <v>366</v>
      </c>
      <c r="C8" s="5" t="s">
        <v>367</v>
      </c>
      <c r="D8" s="7" t="s">
        <v>27</v>
      </c>
      <c r="E8" s="6">
        <f t="shared" si="0"/>
        <v>16</v>
      </c>
      <c r="F8" s="1"/>
      <c r="G8" s="4">
        <v>7.14</v>
      </c>
      <c r="H8" s="5" t="s">
        <v>368</v>
      </c>
      <c r="I8" s="5" t="s">
        <v>369</v>
      </c>
      <c r="J8" s="7" t="s">
        <v>30</v>
      </c>
      <c r="K8" s="6">
        <f t="shared" si="1"/>
        <v>40</v>
      </c>
    </row>
    <row r="9" spans="1:16" ht="22.5" customHeight="1" x14ac:dyDescent="0.2">
      <c r="A9" s="4">
        <v>7.3</v>
      </c>
      <c r="B9" s="5" t="s">
        <v>370</v>
      </c>
      <c r="C9" s="5" t="s">
        <v>371</v>
      </c>
      <c r="D9" s="7" t="s">
        <v>30</v>
      </c>
      <c r="E9" s="6">
        <f t="shared" si="0"/>
        <v>40</v>
      </c>
      <c r="F9" s="1"/>
      <c r="G9" s="4">
        <v>8.4</v>
      </c>
      <c r="H9" s="5" t="s">
        <v>372</v>
      </c>
      <c r="I9" s="5" t="s">
        <v>373</v>
      </c>
      <c r="J9" s="7" t="s">
        <v>35</v>
      </c>
      <c r="K9" s="6">
        <f t="shared" si="1"/>
        <v>100</v>
      </c>
    </row>
    <row r="10" spans="1:16" ht="22.5" customHeight="1" x14ac:dyDescent="0.2">
      <c r="A10" s="4">
        <v>7.4</v>
      </c>
      <c r="B10" s="5" t="s">
        <v>374</v>
      </c>
      <c r="C10" s="5" t="s">
        <v>375</v>
      </c>
      <c r="D10" s="7" t="s">
        <v>27</v>
      </c>
      <c r="E10" s="6">
        <f t="shared" si="0"/>
        <v>16</v>
      </c>
      <c r="F10" s="1"/>
      <c r="G10" s="4">
        <v>10.9</v>
      </c>
      <c r="H10" s="5" t="s">
        <v>376</v>
      </c>
      <c r="I10" s="5" t="s">
        <v>377</v>
      </c>
      <c r="J10" s="7" t="s">
        <v>35</v>
      </c>
      <c r="K10" s="6">
        <f t="shared" si="1"/>
        <v>100</v>
      </c>
    </row>
    <row r="11" spans="1:16" ht="22.5" customHeight="1" x14ac:dyDescent="0.2">
      <c r="A11" s="4">
        <v>7.5</v>
      </c>
      <c r="B11" s="5" t="s">
        <v>378</v>
      </c>
      <c r="C11" s="5" t="s">
        <v>379</v>
      </c>
      <c r="D11" s="7" t="s">
        <v>30</v>
      </c>
      <c r="E11" s="6">
        <f t="shared" si="0"/>
        <v>40</v>
      </c>
      <c r="F11" s="1"/>
      <c r="G11" s="4">
        <v>12.1</v>
      </c>
      <c r="H11" s="5" t="s">
        <v>380</v>
      </c>
      <c r="I11" s="5" t="s">
        <v>381</v>
      </c>
      <c r="J11" s="7" t="s">
        <v>27</v>
      </c>
      <c r="K11" s="6">
        <f t="shared" si="1"/>
        <v>16</v>
      </c>
    </row>
    <row r="12" spans="1:16" ht="22.5" customHeight="1" x14ac:dyDescent="0.2">
      <c r="A12" s="4">
        <v>7.6</v>
      </c>
      <c r="B12" s="5" t="s">
        <v>382</v>
      </c>
      <c r="C12" s="5" t="s">
        <v>383</v>
      </c>
      <c r="D12" s="7" t="s">
        <v>30</v>
      </c>
      <c r="E12" s="6">
        <f t="shared" si="0"/>
        <v>40</v>
      </c>
      <c r="F12" s="1"/>
      <c r="G12" s="4">
        <v>14.11</v>
      </c>
      <c r="H12" s="5" t="s">
        <v>384</v>
      </c>
      <c r="I12" s="5" t="s">
        <v>385</v>
      </c>
      <c r="J12" s="7" t="s">
        <v>35</v>
      </c>
      <c r="K12" s="6">
        <f t="shared" si="1"/>
        <v>100</v>
      </c>
    </row>
    <row r="13" spans="1:16" ht="22.5" customHeight="1" x14ac:dyDescent="0.2">
      <c r="A13" s="4">
        <v>7.7</v>
      </c>
      <c r="B13" s="5" t="s">
        <v>386</v>
      </c>
      <c r="C13" s="5" t="s">
        <v>387</v>
      </c>
      <c r="D13" s="7" t="s">
        <v>27</v>
      </c>
      <c r="E13" s="6">
        <f t="shared" si="0"/>
        <v>16</v>
      </c>
      <c r="F13" s="1"/>
      <c r="G13" s="4">
        <v>14.15</v>
      </c>
      <c r="H13" s="5" t="s">
        <v>388</v>
      </c>
      <c r="I13" s="5" t="s">
        <v>389</v>
      </c>
      <c r="J13" s="7" t="s">
        <v>27</v>
      </c>
      <c r="K13" s="6">
        <f t="shared" si="1"/>
        <v>16</v>
      </c>
    </row>
    <row r="14" spans="1:16" ht="22.5" customHeight="1" x14ac:dyDescent="0.2">
      <c r="A14" s="4">
        <v>7.8</v>
      </c>
      <c r="B14" s="5" t="s">
        <v>390</v>
      </c>
      <c r="C14" s="5" t="s">
        <v>391</v>
      </c>
      <c r="D14" s="7" t="s">
        <v>27</v>
      </c>
      <c r="E14" s="6">
        <f t="shared" si="0"/>
        <v>16</v>
      </c>
      <c r="F14" s="1"/>
      <c r="G14" s="4">
        <v>15.5</v>
      </c>
      <c r="H14" s="5" t="s">
        <v>392</v>
      </c>
      <c r="I14" s="5" t="s">
        <v>393</v>
      </c>
      <c r="J14" s="7" t="s">
        <v>30</v>
      </c>
      <c r="K14" s="6">
        <f t="shared" si="1"/>
        <v>40</v>
      </c>
    </row>
    <row r="15" spans="1:16" ht="22.5" customHeight="1" x14ac:dyDescent="0.2">
      <c r="A15" s="4">
        <v>7.9</v>
      </c>
      <c r="B15" s="5" t="s">
        <v>394</v>
      </c>
      <c r="C15" s="5" t="s">
        <v>395</v>
      </c>
      <c r="D15" s="7" t="s">
        <v>27</v>
      </c>
      <c r="E15" s="6">
        <f t="shared" si="0"/>
        <v>16</v>
      </c>
      <c r="F15" s="1"/>
      <c r="G15" s="4">
        <v>15.8</v>
      </c>
      <c r="H15" s="5" t="s">
        <v>396</v>
      </c>
      <c r="I15" s="5" t="s">
        <v>397</v>
      </c>
      <c r="J15" s="7" t="s">
        <v>30</v>
      </c>
      <c r="K15" s="6">
        <f t="shared" si="1"/>
        <v>40</v>
      </c>
    </row>
    <row r="16" spans="1:16" ht="22.5" customHeight="1" x14ac:dyDescent="0.2">
      <c r="A16" s="4">
        <v>7.1</v>
      </c>
      <c r="B16" s="5" t="s">
        <v>364</v>
      </c>
      <c r="C16" s="5" t="s">
        <v>365</v>
      </c>
      <c r="D16" s="7" t="s">
        <v>30</v>
      </c>
      <c r="E16" s="6">
        <f t="shared" si="0"/>
        <v>40</v>
      </c>
      <c r="F16" s="1"/>
      <c r="G16" s="4" t="s">
        <v>342</v>
      </c>
      <c r="H16" s="5" t="s">
        <v>398</v>
      </c>
      <c r="I16" s="5" t="s">
        <v>399</v>
      </c>
      <c r="J16" s="7" t="s">
        <v>35</v>
      </c>
      <c r="K16" s="5">
        <f t="shared" si="1"/>
        <v>100</v>
      </c>
    </row>
    <row r="17" spans="1:11" ht="22.5" customHeight="1" x14ac:dyDescent="0.2">
      <c r="A17" s="4">
        <v>7.11</v>
      </c>
      <c r="B17" s="5" t="s">
        <v>400</v>
      </c>
      <c r="C17" s="5" t="s">
        <v>401</v>
      </c>
      <c r="D17" s="7" t="s">
        <v>27</v>
      </c>
      <c r="E17" s="6">
        <f t="shared" si="0"/>
        <v>16</v>
      </c>
      <c r="F17" s="1"/>
      <c r="G17" s="4" t="s">
        <v>64</v>
      </c>
      <c r="H17" s="5" t="s">
        <v>402</v>
      </c>
      <c r="I17" s="5" t="s">
        <v>403</v>
      </c>
      <c r="J17" s="7" t="s">
        <v>30</v>
      </c>
      <c r="K17" s="5">
        <f t="shared" si="1"/>
        <v>40</v>
      </c>
    </row>
    <row r="18" spans="1:11" ht="22.5" customHeight="1" x14ac:dyDescent="0.2">
      <c r="A18" s="4">
        <v>7.12</v>
      </c>
      <c r="B18" s="5" t="s">
        <v>136</v>
      </c>
      <c r="C18" s="5" t="s">
        <v>404</v>
      </c>
      <c r="D18" s="7" t="s">
        <v>30</v>
      </c>
      <c r="E18" s="6">
        <f t="shared" si="0"/>
        <v>40</v>
      </c>
      <c r="F18" s="1"/>
      <c r="G18" s="18">
        <f>COUNTA(Streamlined_Analysis_2[Step Num])</f>
        <v>11</v>
      </c>
      <c r="H18" s="18"/>
      <c r="I18" s="18"/>
      <c r="J18" s="18"/>
      <c r="K18" s="18">
        <f>SUM(Streamlined_Analysis_2[Effort Hours (hrs)])</f>
        <v>632</v>
      </c>
    </row>
    <row r="19" spans="1:11" ht="22.5" customHeight="1" x14ac:dyDescent="0.2">
      <c r="A19" s="4">
        <v>7.13</v>
      </c>
      <c r="B19" s="5" t="s">
        <v>405</v>
      </c>
      <c r="C19" s="5" t="s">
        <v>406</v>
      </c>
      <c r="D19" s="7" t="s">
        <v>27</v>
      </c>
      <c r="E19" s="6">
        <f t="shared" si="0"/>
        <v>16</v>
      </c>
    </row>
    <row r="20" spans="1:11" ht="22.5" customHeight="1" x14ac:dyDescent="0.2">
      <c r="A20" s="4">
        <v>7.14</v>
      </c>
      <c r="B20" s="5" t="s">
        <v>368</v>
      </c>
      <c r="C20" s="5" t="s">
        <v>369</v>
      </c>
      <c r="D20" s="7" t="s">
        <v>35</v>
      </c>
      <c r="E20" s="6">
        <f t="shared" si="0"/>
        <v>100</v>
      </c>
    </row>
    <row r="21" spans="1:11" ht="22.5" customHeight="1" x14ac:dyDescent="0.2">
      <c r="A21" s="4">
        <v>8.1</v>
      </c>
      <c r="B21" s="5" t="s">
        <v>407</v>
      </c>
      <c r="C21" s="5" t="s">
        <v>408</v>
      </c>
      <c r="D21" s="7" t="s">
        <v>27</v>
      </c>
      <c r="E21" s="6">
        <f t="shared" si="0"/>
        <v>16</v>
      </c>
    </row>
    <row r="22" spans="1:11" ht="22.5" customHeight="1" x14ac:dyDescent="0.2">
      <c r="A22" s="4">
        <v>8.1999999999999993</v>
      </c>
      <c r="B22" s="5" t="s">
        <v>409</v>
      </c>
      <c r="C22" s="5" t="s">
        <v>410</v>
      </c>
      <c r="D22" s="7" t="s">
        <v>27</v>
      </c>
      <c r="E22" s="6">
        <f t="shared" si="0"/>
        <v>16</v>
      </c>
    </row>
    <row r="23" spans="1:11" ht="22.5" customHeight="1" x14ac:dyDescent="0.2">
      <c r="A23" s="4">
        <v>8.3000000000000007</v>
      </c>
      <c r="B23" s="5" t="s">
        <v>411</v>
      </c>
      <c r="C23" s="5" t="s">
        <v>412</v>
      </c>
      <c r="D23" s="7" t="s">
        <v>30</v>
      </c>
      <c r="E23" s="6">
        <f t="shared" si="0"/>
        <v>40</v>
      </c>
    </row>
    <row r="24" spans="1:11" ht="22.5" customHeight="1" x14ac:dyDescent="0.2">
      <c r="A24" s="4">
        <v>8.4</v>
      </c>
      <c r="B24" s="5" t="s">
        <v>372</v>
      </c>
      <c r="C24" s="5" t="s">
        <v>373</v>
      </c>
      <c r="D24" s="7" t="s">
        <v>35</v>
      </c>
      <c r="E24" s="6">
        <f t="shared" si="0"/>
        <v>100</v>
      </c>
    </row>
    <row r="25" spans="1:11" ht="22.5" customHeight="1" x14ac:dyDescent="0.2">
      <c r="A25" s="4">
        <v>8.5</v>
      </c>
      <c r="B25" s="5" t="s">
        <v>413</v>
      </c>
      <c r="C25" s="5" t="s">
        <v>414</v>
      </c>
      <c r="D25" s="7" t="s">
        <v>27</v>
      </c>
      <c r="E25" s="6">
        <f t="shared" si="0"/>
        <v>16</v>
      </c>
    </row>
    <row r="26" spans="1:11" ht="22.5" customHeight="1" x14ac:dyDescent="0.2">
      <c r="A26" s="4">
        <v>8.6</v>
      </c>
      <c r="B26" s="5" t="s">
        <v>415</v>
      </c>
      <c r="C26" s="5" t="s">
        <v>416</v>
      </c>
      <c r="D26" s="7" t="s">
        <v>27</v>
      </c>
      <c r="E26" s="6">
        <f t="shared" si="0"/>
        <v>16</v>
      </c>
    </row>
    <row r="27" spans="1:11" ht="22.5" customHeight="1" x14ac:dyDescent="0.2">
      <c r="A27" s="4">
        <v>8.6999999999999993</v>
      </c>
      <c r="B27" s="5" t="s">
        <v>417</v>
      </c>
      <c r="C27" s="5" t="s">
        <v>418</v>
      </c>
      <c r="D27" s="7" t="s">
        <v>30</v>
      </c>
      <c r="E27" s="6">
        <f t="shared" si="0"/>
        <v>40</v>
      </c>
    </row>
    <row r="28" spans="1:11" ht="22.5" customHeight="1" x14ac:dyDescent="0.2">
      <c r="A28" s="4">
        <v>8.8000000000000007</v>
      </c>
      <c r="B28" s="5" t="s">
        <v>419</v>
      </c>
      <c r="C28" s="5" t="s">
        <v>420</v>
      </c>
      <c r="D28" s="7" t="s">
        <v>30</v>
      </c>
      <c r="E28" s="6">
        <f t="shared" si="0"/>
        <v>40</v>
      </c>
    </row>
    <row r="29" spans="1:11" ht="22.5" customHeight="1" x14ac:dyDescent="0.2">
      <c r="A29" s="4">
        <v>8.9</v>
      </c>
      <c r="B29" s="5" t="s">
        <v>421</v>
      </c>
      <c r="C29" s="5" t="s">
        <v>422</v>
      </c>
      <c r="D29" s="7" t="s">
        <v>30</v>
      </c>
      <c r="E29" s="6">
        <f t="shared" si="0"/>
        <v>40</v>
      </c>
    </row>
    <row r="30" spans="1:11" ht="22.5" customHeight="1" x14ac:dyDescent="0.2">
      <c r="A30" s="4">
        <v>8.1</v>
      </c>
      <c r="B30" s="5" t="s">
        <v>423</v>
      </c>
      <c r="C30" s="5" t="s">
        <v>424</v>
      </c>
      <c r="D30" s="7" t="s">
        <v>30</v>
      </c>
      <c r="E30" s="6">
        <f t="shared" si="0"/>
        <v>40</v>
      </c>
    </row>
    <row r="31" spans="1:11" ht="22.5" customHeight="1" x14ac:dyDescent="0.2">
      <c r="A31" s="4">
        <v>8.11</v>
      </c>
      <c r="B31" s="5" t="s">
        <v>425</v>
      </c>
      <c r="C31" s="5" t="s">
        <v>426</v>
      </c>
      <c r="D31" s="7" t="s">
        <v>35</v>
      </c>
      <c r="E31" s="6">
        <f t="shared" si="0"/>
        <v>100</v>
      </c>
    </row>
    <row r="32" spans="1:11" ht="22.5" customHeight="1" x14ac:dyDescent="0.2">
      <c r="A32" s="4">
        <v>9.1</v>
      </c>
      <c r="B32" s="5" t="s">
        <v>427</v>
      </c>
      <c r="C32" s="5" t="s">
        <v>428</v>
      </c>
      <c r="D32" s="7" t="s">
        <v>30</v>
      </c>
      <c r="E32" s="6">
        <f t="shared" si="0"/>
        <v>40</v>
      </c>
    </row>
    <row r="33" spans="1:5" ht="22.5" customHeight="1" x14ac:dyDescent="0.2">
      <c r="A33" s="4">
        <v>9.1999999999999993</v>
      </c>
      <c r="B33" s="5" t="s">
        <v>429</v>
      </c>
      <c r="C33" s="5" t="s">
        <v>430</v>
      </c>
      <c r="D33" s="7" t="s">
        <v>35</v>
      </c>
      <c r="E33" s="6">
        <f t="shared" si="0"/>
        <v>100</v>
      </c>
    </row>
    <row r="34" spans="1:5" ht="22.5" customHeight="1" x14ac:dyDescent="0.2">
      <c r="A34" s="4">
        <v>9.3000000000000007</v>
      </c>
      <c r="B34" s="5" t="s">
        <v>431</v>
      </c>
      <c r="C34" s="5" t="s">
        <v>432</v>
      </c>
      <c r="D34" s="7" t="s">
        <v>27</v>
      </c>
      <c r="E34" s="6">
        <f t="shared" si="0"/>
        <v>16</v>
      </c>
    </row>
    <row r="35" spans="1:5" ht="22.5" customHeight="1" x14ac:dyDescent="0.2">
      <c r="A35" s="4">
        <v>10.1</v>
      </c>
      <c r="B35" s="5" t="s">
        <v>433</v>
      </c>
      <c r="C35" s="5" t="s">
        <v>434</v>
      </c>
      <c r="D35" s="7" t="s">
        <v>27</v>
      </c>
      <c r="E35" s="6">
        <f t="shared" si="0"/>
        <v>16</v>
      </c>
    </row>
    <row r="36" spans="1:5" ht="22.5" customHeight="1" x14ac:dyDescent="0.2">
      <c r="A36" s="4">
        <v>10.199999999999999</v>
      </c>
      <c r="B36" s="5" t="s">
        <v>435</v>
      </c>
      <c r="C36" s="5" t="s">
        <v>436</v>
      </c>
      <c r="D36" s="7" t="s">
        <v>27</v>
      </c>
      <c r="E36" s="6">
        <f t="shared" si="0"/>
        <v>16</v>
      </c>
    </row>
    <row r="37" spans="1:5" ht="22.5" customHeight="1" x14ac:dyDescent="0.2">
      <c r="A37" s="4">
        <v>10.3</v>
      </c>
      <c r="B37" s="5" t="s">
        <v>437</v>
      </c>
      <c r="C37" s="5" t="s">
        <v>438</v>
      </c>
      <c r="D37" s="7" t="s">
        <v>27</v>
      </c>
      <c r="E37" s="6">
        <f t="shared" si="0"/>
        <v>16</v>
      </c>
    </row>
    <row r="38" spans="1:5" ht="22.5" customHeight="1" x14ac:dyDescent="0.2">
      <c r="A38" s="4">
        <v>10.4</v>
      </c>
      <c r="B38" s="5" t="s">
        <v>439</v>
      </c>
      <c r="C38" s="5" t="s">
        <v>440</v>
      </c>
      <c r="D38" s="7" t="s">
        <v>27</v>
      </c>
      <c r="E38" s="6">
        <f t="shared" si="0"/>
        <v>16</v>
      </c>
    </row>
    <row r="39" spans="1:5" ht="22.5" customHeight="1" x14ac:dyDescent="0.2">
      <c r="A39" s="4">
        <v>10.5</v>
      </c>
      <c r="B39" s="5" t="s">
        <v>441</v>
      </c>
      <c r="C39" s="5" t="s">
        <v>442</v>
      </c>
      <c r="D39" s="7" t="s">
        <v>27</v>
      </c>
      <c r="E39" s="6">
        <f t="shared" si="0"/>
        <v>16</v>
      </c>
    </row>
    <row r="40" spans="1:5" ht="22.5" customHeight="1" x14ac:dyDescent="0.2">
      <c r="A40" s="4">
        <v>10.6</v>
      </c>
      <c r="B40" s="5" t="s">
        <v>443</v>
      </c>
      <c r="C40" s="5" t="s">
        <v>444</v>
      </c>
      <c r="D40" s="7" t="s">
        <v>30</v>
      </c>
      <c r="E40" s="6">
        <f t="shared" si="0"/>
        <v>40</v>
      </c>
    </row>
    <row r="41" spans="1:5" ht="22.5" customHeight="1" x14ac:dyDescent="0.2">
      <c r="A41" s="4">
        <v>10.7</v>
      </c>
      <c r="B41" s="5" t="s">
        <v>445</v>
      </c>
      <c r="C41" s="5" t="s">
        <v>446</v>
      </c>
      <c r="D41" s="7" t="s">
        <v>30</v>
      </c>
      <c r="E41" s="6">
        <f t="shared" si="0"/>
        <v>40</v>
      </c>
    </row>
    <row r="42" spans="1:5" ht="22.5" customHeight="1" x14ac:dyDescent="0.2">
      <c r="A42" s="4">
        <v>10.8</v>
      </c>
      <c r="B42" s="5" t="s">
        <v>447</v>
      </c>
      <c r="C42" s="5" t="s">
        <v>448</v>
      </c>
      <c r="D42" s="7" t="s">
        <v>27</v>
      </c>
      <c r="E42" s="6">
        <f t="shared" si="0"/>
        <v>16</v>
      </c>
    </row>
    <row r="43" spans="1:5" ht="22.5" customHeight="1" x14ac:dyDescent="0.2">
      <c r="A43" s="4">
        <v>10.9</v>
      </c>
      <c r="B43" s="5" t="s">
        <v>376</v>
      </c>
      <c r="C43" s="5" t="s">
        <v>377</v>
      </c>
      <c r="D43" s="7" t="s">
        <v>35</v>
      </c>
      <c r="E43" s="6">
        <f t="shared" si="0"/>
        <v>100</v>
      </c>
    </row>
    <row r="44" spans="1:5" ht="22.5" customHeight="1" x14ac:dyDescent="0.2">
      <c r="A44" s="4">
        <v>11.1</v>
      </c>
      <c r="B44" s="5" t="s">
        <v>449</v>
      </c>
      <c r="C44" s="5" t="s">
        <v>450</v>
      </c>
      <c r="D44" s="7" t="s">
        <v>30</v>
      </c>
      <c r="E44" s="6">
        <f t="shared" si="0"/>
        <v>40</v>
      </c>
    </row>
    <row r="45" spans="1:5" ht="22.5" customHeight="1" x14ac:dyDescent="0.2">
      <c r="A45" s="4">
        <v>11.2</v>
      </c>
      <c r="B45" s="5" t="s">
        <v>451</v>
      </c>
      <c r="C45" s="5" t="s">
        <v>452</v>
      </c>
      <c r="D45" s="7" t="s">
        <v>35</v>
      </c>
      <c r="E45" s="6">
        <f t="shared" si="0"/>
        <v>100</v>
      </c>
    </row>
    <row r="46" spans="1:5" ht="22.5" customHeight="1" x14ac:dyDescent="0.2">
      <c r="A46" s="4">
        <v>11.3</v>
      </c>
      <c r="B46" s="5" t="s">
        <v>453</v>
      </c>
      <c r="C46" s="5" t="s">
        <v>454</v>
      </c>
      <c r="D46" s="7" t="s">
        <v>35</v>
      </c>
      <c r="E46" s="6">
        <f t="shared" si="0"/>
        <v>100</v>
      </c>
    </row>
    <row r="47" spans="1:5" ht="22.5" customHeight="1" x14ac:dyDescent="0.2">
      <c r="A47" s="4">
        <v>12.1</v>
      </c>
      <c r="B47" s="5" t="s">
        <v>380</v>
      </c>
      <c r="C47" s="5" t="s">
        <v>381</v>
      </c>
      <c r="D47" s="7" t="s">
        <v>27</v>
      </c>
      <c r="E47" s="6">
        <f t="shared" si="0"/>
        <v>16</v>
      </c>
    </row>
    <row r="48" spans="1:5" ht="22.5" customHeight="1" x14ac:dyDescent="0.2">
      <c r="A48" s="4">
        <v>12.2</v>
      </c>
      <c r="B48" s="5" t="s">
        <v>455</v>
      </c>
      <c r="C48" s="5" t="s">
        <v>456</v>
      </c>
      <c r="D48" s="7" t="s">
        <v>27</v>
      </c>
      <c r="E48" s="6">
        <f t="shared" si="0"/>
        <v>16</v>
      </c>
    </row>
    <row r="49" spans="1:5" ht="22.5" customHeight="1" x14ac:dyDescent="0.2">
      <c r="A49" s="4">
        <v>12.3</v>
      </c>
      <c r="B49" s="5" t="s">
        <v>457</v>
      </c>
      <c r="C49" s="5" t="s">
        <v>458</v>
      </c>
      <c r="D49" s="7" t="s">
        <v>27</v>
      </c>
      <c r="E49" s="6">
        <f t="shared" si="0"/>
        <v>16</v>
      </c>
    </row>
    <row r="50" spans="1:5" ht="22.5" customHeight="1" x14ac:dyDescent="0.2">
      <c r="A50" s="4">
        <v>12.4</v>
      </c>
      <c r="B50" s="5" t="s">
        <v>459</v>
      </c>
      <c r="C50" s="5" t="s">
        <v>460</v>
      </c>
      <c r="D50" s="7" t="s">
        <v>35</v>
      </c>
      <c r="E50" s="6">
        <f t="shared" si="0"/>
        <v>100</v>
      </c>
    </row>
    <row r="51" spans="1:5" ht="22.5" customHeight="1" x14ac:dyDescent="0.2">
      <c r="A51" s="4">
        <v>13.1</v>
      </c>
      <c r="B51" s="5" t="s">
        <v>461</v>
      </c>
      <c r="C51" s="5" t="s">
        <v>462</v>
      </c>
      <c r="D51" s="7" t="s">
        <v>30</v>
      </c>
      <c r="E51" s="6">
        <f t="shared" si="0"/>
        <v>40</v>
      </c>
    </row>
    <row r="52" spans="1:5" ht="22.5" customHeight="1" x14ac:dyDescent="0.2">
      <c r="A52" s="4">
        <v>13.2</v>
      </c>
      <c r="B52" s="5" t="s">
        <v>463</v>
      </c>
      <c r="C52" s="5" t="s">
        <v>464</v>
      </c>
      <c r="D52" s="7" t="s">
        <v>35</v>
      </c>
      <c r="E52" s="6">
        <f t="shared" si="0"/>
        <v>100</v>
      </c>
    </row>
    <row r="53" spans="1:5" ht="22.5" customHeight="1" x14ac:dyDescent="0.2">
      <c r="A53" s="4">
        <v>13.3</v>
      </c>
      <c r="B53" s="5" t="s">
        <v>465</v>
      </c>
      <c r="C53" s="5" t="s">
        <v>466</v>
      </c>
      <c r="D53" s="7" t="s">
        <v>35</v>
      </c>
      <c r="E53" s="6">
        <f t="shared" si="0"/>
        <v>100</v>
      </c>
    </row>
    <row r="54" spans="1:5" ht="22.5" customHeight="1" x14ac:dyDescent="0.2">
      <c r="A54" s="4">
        <v>14.1</v>
      </c>
      <c r="B54" s="5" t="s">
        <v>467</v>
      </c>
      <c r="C54" s="5" t="s">
        <v>468</v>
      </c>
      <c r="D54" s="7" t="s">
        <v>27</v>
      </c>
      <c r="E54" s="6">
        <f t="shared" si="0"/>
        <v>16</v>
      </c>
    </row>
    <row r="55" spans="1:5" ht="22.5" customHeight="1" x14ac:dyDescent="0.2">
      <c r="A55" s="4">
        <v>14.2</v>
      </c>
      <c r="B55" s="5" t="s">
        <v>469</v>
      </c>
      <c r="C55" s="5" t="s">
        <v>470</v>
      </c>
      <c r="D55" s="7" t="s">
        <v>27</v>
      </c>
      <c r="E55" s="6">
        <f t="shared" si="0"/>
        <v>16</v>
      </c>
    </row>
    <row r="56" spans="1:5" ht="22.5" customHeight="1" x14ac:dyDescent="0.2">
      <c r="A56" s="4">
        <v>14.3</v>
      </c>
      <c r="B56" s="5" t="s">
        <v>471</v>
      </c>
      <c r="C56" s="5" t="s">
        <v>472</v>
      </c>
      <c r="D56" s="7" t="s">
        <v>27</v>
      </c>
      <c r="E56" s="6">
        <f t="shared" si="0"/>
        <v>16</v>
      </c>
    </row>
    <row r="57" spans="1:5" ht="22.5" customHeight="1" x14ac:dyDescent="0.2">
      <c r="A57" s="4">
        <v>14.4</v>
      </c>
      <c r="B57" s="5" t="s">
        <v>473</v>
      </c>
      <c r="C57" s="5" t="s">
        <v>474</v>
      </c>
      <c r="D57" s="7" t="s">
        <v>27</v>
      </c>
      <c r="E57" s="6">
        <f t="shared" si="0"/>
        <v>16</v>
      </c>
    </row>
    <row r="58" spans="1:5" ht="22.5" customHeight="1" x14ac:dyDescent="0.2">
      <c r="A58" s="4">
        <v>14.5</v>
      </c>
      <c r="B58" s="5" t="s">
        <v>475</v>
      </c>
      <c r="C58" s="5" t="s">
        <v>476</v>
      </c>
      <c r="D58" s="7" t="s">
        <v>27</v>
      </c>
      <c r="E58" s="6">
        <f t="shared" si="0"/>
        <v>16</v>
      </c>
    </row>
    <row r="59" spans="1:5" ht="22.5" customHeight="1" x14ac:dyDescent="0.2">
      <c r="A59" s="4">
        <v>14.6</v>
      </c>
      <c r="B59" s="5" t="s">
        <v>477</v>
      </c>
      <c r="C59" s="5" t="s">
        <v>478</v>
      </c>
      <c r="D59" s="7" t="s">
        <v>30</v>
      </c>
      <c r="E59" s="6">
        <f t="shared" si="0"/>
        <v>40</v>
      </c>
    </row>
    <row r="60" spans="1:5" ht="22.5" customHeight="1" x14ac:dyDescent="0.2">
      <c r="A60" s="4">
        <v>14.7</v>
      </c>
      <c r="B60" s="5" t="s">
        <v>479</v>
      </c>
      <c r="C60" s="5" t="s">
        <v>480</v>
      </c>
      <c r="D60" s="7" t="s">
        <v>30</v>
      </c>
      <c r="E60" s="6">
        <f t="shared" si="0"/>
        <v>40</v>
      </c>
    </row>
    <row r="61" spans="1:5" ht="22.5" customHeight="1" x14ac:dyDescent="0.2">
      <c r="A61" s="4">
        <v>14.8</v>
      </c>
      <c r="B61" s="5" t="s">
        <v>481</v>
      </c>
      <c r="C61" s="5" t="s">
        <v>482</v>
      </c>
      <c r="D61" s="7" t="s">
        <v>27</v>
      </c>
      <c r="E61" s="6">
        <f t="shared" si="0"/>
        <v>16</v>
      </c>
    </row>
    <row r="62" spans="1:5" ht="22.5" customHeight="1" x14ac:dyDescent="0.2">
      <c r="A62" s="4">
        <v>14.9</v>
      </c>
      <c r="B62" s="5" t="s">
        <v>483</v>
      </c>
      <c r="C62" s="5" t="s">
        <v>484</v>
      </c>
      <c r="D62" s="7" t="s">
        <v>30</v>
      </c>
      <c r="E62" s="6">
        <f t="shared" si="0"/>
        <v>40</v>
      </c>
    </row>
    <row r="63" spans="1:5" ht="22.5" customHeight="1" x14ac:dyDescent="0.2">
      <c r="A63" s="4">
        <v>14.1</v>
      </c>
      <c r="B63" s="5" t="s">
        <v>485</v>
      </c>
      <c r="C63" s="5" t="s">
        <v>486</v>
      </c>
      <c r="D63" s="7" t="s">
        <v>27</v>
      </c>
      <c r="E63" s="6">
        <f t="shared" si="0"/>
        <v>16</v>
      </c>
    </row>
    <row r="64" spans="1:5" ht="22.5" customHeight="1" x14ac:dyDescent="0.2">
      <c r="A64" s="4">
        <v>14.11</v>
      </c>
      <c r="B64" s="5" t="s">
        <v>384</v>
      </c>
      <c r="C64" s="5" t="s">
        <v>385</v>
      </c>
      <c r="D64" s="7" t="s">
        <v>35</v>
      </c>
      <c r="E64" s="6">
        <f t="shared" si="0"/>
        <v>100</v>
      </c>
    </row>
    <row r="65" spans="1:5" ht="22.5" customHeight="1" x14ac:dyDescent="0.2">
      <c r="A65" s="4">
        <v>14.12</v>
      </c>
      <c r="B65" s="5" t="s">
        <v>487</v>
      </c>
      <c r="C65" s="5" t="s">
        <v>488</v>
      </c>
      <c r="D65" s="7" t="s">
        <v>30</v>
      </c>
      <c r="E65" s="6">
        <f t="shared" si="0"/>
        <v>40</v>
      </c>
    </row>
    <row r="66" spans="1:5" ht="22.5" customHeight="1" x14ac:dyDescent="0.2">
      <c r="A66" s="4">
        <v>14.13</v>
      </c>
      <c r="B66" s="5" t="s">
        <v>489</v>
      </c>
      <c r="C66" s="5" t="s">
        <v>490</v>
      </c>
      <c r="D66" s="7" t="s">
        <v>27</v>
      </c>
      <c r="E66" s="6">
        <f t="shared" si="0"/>
        <v>16</v>
      </c>
    </row>
    <row r="67" spans="1:5" ht="22.5" customHeight="1" x14ac:dyDescent="0.2">
      <c r="A67" s="4">
        <v>14.14</v>
      </c>
      <c r="B67" s="5" t="s">
        <v>491</v>
      </c>
      <c r="C67" s="5" t="s">
        <v>492</v>
      </c>
      <c r="D67" s="7" t="s">
        <v>27</v>
      </c>
      <c r="E67" s="6">
        <f t="shared" si="0"/>
        <v>16</v>
      </c>
    </row>
    <row r="68" spans="1:5" ht="22.5" customHeight="1" x14ac:dyDescent="0.2">
      <c r="A68" s="4">
        <v>14.15</v>
      </c>
      <c r="B68" s="5" t="s">
        <v>388</v>
      </c>
      <c r="C68" s="5" t="s">
        <v>389</v>
      </c>
      <c r="D68" s="7" t="s">
        <v>35</v>
      </c>
      <c r="E68" s="6">
        <f t="shared" si="0"/>
        <v>100</v>
      </c>
    </row>
    <row r="69" spans="1:5" ht="22.5" customHeight="1" x14ac:dyDescent="0.2">
      <c r="A69" s="4">
        <v>15.1</v>
      </c>
      <c r="B69" s="5" t="s">
        <v>493</v>
      </c>
      <c r="C69" s="5" t="s">
        <v>494</v>
      </c>
      <c r="D69" s="7" t="s">
        <v>30</v>
      </c>
      <c r="E69" s="6">
        <f t="shared" si="0"/>
        <v>40</v>
      </c>
    </row>
    <row r="70" spans="1:5" ht="22.5" customHeight="1" x14ac:dyDescent="0.2">
      <c r="A70" s="4">
        <v>15.2</v>
      </c>
      <c r="B70" s="5" t="s">
        <v>495</v>
      </c>
      <c r="C70" s="5" t="s">
        <v>387</v>
      </c>
      <c r="D70" s="7" t="s">
        <v>27</v>
      </c>
      <c r="E70" s="6">
        <f t="shared" si="0"/>
        <v>16</v>
      </c>
    </row>
    <row r="71" spans="1:5" ht="22.5" customHeight="1" x14ac:dyDescent="0.2">
      <c r="A71" s="4">
        <v>15.3</v>
      </c>
      <c r="B71" s="5" t="s">
        <v>496</v>
      </c>
      <c r="C71" s="5" t="s">
        <v>497</v>
      </c>
      <c r="D71" s="7" t="s">
        <v>27</v>
      </c>
      <c r="E71" s="6">
        <f t="shared" si="0"/>
        <v>16</v>
      </c>
    </row>
    <row r="72" spans="1:5" ht="22.5" customHeight="1" x14ac:dyDescent="0.2">
      <c r="A72" s="4">
        <v>15.4</v>
      </c>
      <c r="B72" s="5" t="s">
        <v>498</v>
      </c>
      <c r="C72" s="5" t="s">
        <v>499</v>
      </c>
      <c r="D72" s="7" t="s">
        <v>27</v>
      </c>
      <c r="E72" s="6">
        <f t="shared" si="0"/>
        <v>16</v>
      </c>
    </row>
    <row r="73" spans="1:5" ht="22.5" customHeight="1" x14ac:dyDescent="0.2">
      <c r="A73" s="4">
        <v>15.5</v>
      </c>
      <c r="B73" s="5" t="s">
        <v>392</v>
      </c>
      <c r="C73" s="5" t="s">
        <v>393</v>
      </c>
      <c r="D73" s="7" t="s">
        <v>30</v>
      </c>
      <c r="E73" s="6">
        <f t="shared" si="0"/>
        <v>40</v>
      </c>
    </row>
    <row r="74" spans="1:5" ht="22.5" customHeight="1" x14ac:dyDescent="0.2">
      <c r="A74" s="4">
        <v>15.6</v>
      </c>
      <c r="B74" s="5" t="s">
        <v>500</v>
      </c>
      <c r="C74" s="5" t="s">
        <v>501</v>
      </c>
      <c r="D74" s="7" t="s">
        <v>27</v>
      </c>
      <c r="E74" s="6">
        <f t="shared" si="0"/>
        <v>16</v>
      </c>
    </row>
    <row r="75" spans="1:5" ht="22.5" customHeight="1" x14ac:dyDescent="0.2">
      <c r="A75" s="4">
        <v>15.7</v>
      </c>
      <c r="B75" s="5" t="s">
        <v>502</v>
      </c>
      <c r="C75" s="5" t="s">
        <v>503</v>
      </c>
      <c r="D75" s="7" t="s">
        <v>30</v>
      </c>
      <c r="E75" s="6">
        <f t="shared" si="0"/>
        <v>40</v>
      </c>
    </row>
    <row r="76" spans="1:5" ht="22.5" customHeight="1" x14ac:dyDescent="0.2">
      <c r="A76" s="4">
        <v>15.8</v>
      </c>
      <c r="B76" s="5" t="s">
        <v>396</v>
      </c>
      <c r="C76" s="5" t="s">
        <v>397</v>
      </c>
      <c r="D76" s="7" t="s">
        <v>30</v>
      </c>
      <c r="E76" s="6">
        <f t="shared" si="0"/>
        <v>40</v>
      </c>
    </row>
    <row r="77" spans="1:5" ht="22.5" customHeight="1" x14ac:dyDescent="0.2">
      <c r="A77" s="4">
        <v>16.100000000000001</v>
      </c>
      <c r="B77" s="5" t="s">
        <v>504</v>
      </c>
      <c r="C77" s="5" t="s">
        <v>505</v>
      </c>
      <c r="D77" s="7" t="s">
        <v>27</v>
      </c>
      <c r="E77" s="6">
        <f t="shared" si="0"/>
        <v>16</v>
      </c>
    </row>
    <row r="78" spans="1:5" ht="22.5" customHeight="1" x14ac:dyDescent="0.2">
      <c r="A78" s="4">
        <v>16.2</v>
      </c>
      <c r="B78" s="5" t="s">
        <v>506</v>
      </c>
      <c r="C78" s="5" t="s">
        <v>507</v>
      </c>
      <c r="D78" s="7" t="s">
        <v>27</v>
      </c>
      <c r="E78" s="6">
        <f t="shared" si="0"/>
        <v>16</v>
      </c>
    </row>
    <row r="79" spans="1:5" ht="22.5" customHeight="1" x14ac:dyDescent="0.2">
      <c r="A79" s="4">
        <v>16.3</v>
      </c>
      <c r="B79" s="5" t="s">
        <v>508</v>
      </c>
      <c r="C79" s="5" t="s">
        <v>509</v>
      </c>
      <c r="D79" s="7" t="s">
        <v>27</v>
      </c>
      <c r="E79" s="6">
        <f t="shared" si="0"/>
        <v>16</v>
      </c>
    </row>
    <row r="80" spans="1:5" ht="22.5" customHeight="1" x14ac:dyDescent="0.2">
      <c r="A80" s="4" t="s">
        <v>54</v>
      </c>
      <c r="B80" s="5" t="s">
        <v>510</v>
      </c>
      <c r="C80" s="5" t="s">
        <v>511</v>
      </c>
      <c r="D80" s="7" t="s">
        <v>30</v>
      </c>
      <c r="E80" s="6">
        <f t="shared" si="0"/>
        <v>40</v>
      </c>
    </row>
    <row r="81" spans="1:5" ht="22.5" customHeight="1" x14ac:dyDescent="0.2">
      <c r="A81" s="4" t="s">
        <v>339</v>
      </c>
      <c r="B81" s="5" t="s">
        <v>512</v>
      </c>
      <c r="C81" s="5" t="s">
        <v>513</v>
      </c>
      <c r="D81" s="7" t="s">
        <v>27</v>
      </c>
      <c r="E81" s="6">
        <f t="shared" si="0"/>
        <v>16</v>
      </c>
    </row>
    <row r="82" spans="1:5" ht="22.5" customHeight="1" x14ac:dyDescent="0.2">
      <c r="A82" s="4" t="s">
        <v>342</v>
      </c>
      <c r="B82" s="5" t="s">
        <v>398</v>
      </c>
      <c r="C82" s="5" t="s">
        <v>399</v>
      </c>
      <c r="D82" s="7" t="s">
        <v>35</v>
      </c>
      <c r="E82" s="6">
        <f t="shared" si="0"/>
        <v>100</v>
      </c>
    </row>
    <row r="83" spans="1:5" ht="22.5" customHeight="1" x14ac:dyDescent="0.2">
      <c r="A83" s="4" t="s">
        <v>59</v>
      </c>
      <c r="B83" s="5" t="s">
        <v>514</v>
      </c>
      <c r="C83" s="5" t="s">
        <v>515</v>
      </c>
      <c r="D83" s="7" t="s">
        <v>35</v>
      </c>
      <c r="E83" s="6">
        <f t="shared" si="0"/>
        <v>100</v>
      </c>
    </row>
    <row r="84" spans="1:5" ht="22.5" customHeight="1" x14ac:dyDescent="0.2">
      <c r="A84" s="4" t="s">
        <v>64</v>
      </c>
      <c r="B84" s="5" t="s">
        <v>402</v>
      </c>
      <c r="C84" s="5" t="s">
        <v>403</v>
      </c>
      <c r="D84" s="7" t="s">
        <v>30</v>
      </c>
      <c r="E84" s="6">
        <f t="shared" si="0"/>
        <v>40</v>
      </c>
    </row>
    <row r="85" spans="1:5" ht="22.5" customHeight="1" x14ac:dyDescent="0.2">
      <c r="A85" s="4" t="s">
        <v>69</v>
      </c>
      <c r="B85" s="5" t="s">
        <v>516</v>
      </c>
      <c r="C85" s="5" t="s">
        <v>517</v>
      </c>
      <c r="D85" s="7" t="s">
        <v>30</v>
      </c>
      <c r="E85" s="6">
        <f t="shared" si="0"/>
        <v>40</v>
      </c>
    </row>
    <row r="86" spans="1:5" ht="22.5" customHeight="1" x14ac:dyDescent="0.2">
      <c r="A86" s="4" t="s">
        <v>74</v>
      </c>
      <c r="B86" s="5" t="s">
        <v>518</v>
      </c>
      <c r="C86" s="5" t="s">
        <v>519</v>
      </c>
      <c r="D86" s="7" t="s">
        <v>27</v>
      </c>
      <c r="E86" s="6">
        <f t="shared" si="0"/>
        <v>16</v>
      </c>
    </row>
    <row r="87" spans="1:5" ht="22.5" customHeight="1" x14ac:dyDescent="0.2">
      <c r="A87" s="18">
        <f>COUNTA(Detailed_Analysis_2[Step Num])</f>
        <v>80</v>
      </c>
      <c r="B87" s="18"/>
      <c r="C87" s="18"/>
      <c r="D87" s="18"/>
      <c r="E87" s="18">
        <f>SUM(Detailed_Analysis_2[Effort Hours (hrs)])</f>
        <v>3080</v>
      </c>
    </row>
    <row r="88" spans="1:5" ht="12.75" x14ac:dyDescent="0.2">
      <c r="A88" s="1"/>
      <c r="D88" s="1"/>
      <c r="E88" s="1"/>
    </row>
    <row r="89" spans="1:5" ht="12.75" x14ac:dyDescent="0.2">
      <c r="A89" s="1"/>
      <c r="D89" s="1"/>
      <c r="E89" s="1"/>
    </row>
    <row r="90" spans="1:5" ht="12.75" x14ac:dyDescent="0.2">
      <c r="A90" s="1"/>
      <c r="D90" s="1"/>
      <c r="E90" s="1"/>
    </row>
    <row r="91" spans="1:5" ht="12.75" x14ac:dyDescent="0.2">
      <c r="A91" s="1"/>
      <c r="D91" s="1"/>
      <c r="E91" s="1"/>
    </row>
    <row r="92" spans="1:5" ht="12.75" x14ac:dyDescent="0.2">
      <c r="A92" s="1"/>
      <c r="D92" s="1"/>
      <c r="E92" s="1"/>
    </row>
    <row r="93" spans="1:5" ht="12.75" x14ac:dyDescent="0.2">
      <c r="A93" s="1"/>
      <c r="D93" s="1"/>
      <c r="E93" s="1"/>
    </row>
    <row r="94" spans="1:5" ht="12.75" x14ac:dyDescent="0.2">
      <c r="A94" s="1"/>
      <c r="D94" s="1"/>
      <c r="E94" s="1"/>
    </row>
    <row r="95" spans="1:5" ht="12.75" x14ac:dyDescent="0.2">
      <c r="A95" s="1"/>
      <c r="D95" s="1"/>
      <c r="E95" s="1"/>
    </row>
    <row r="96" spans="1:5" ht="12.75" x14ac:dyDescent="0.2">
      <c r="A96" s="1"/>
      <c r="D96" s="1"/>
      <c r="E96" s="1"/>
    </row>
    <row r="97" spans="1:5" ht="12.75" x14ac:dyDescent="0.2">
      <c r="A97" s="1"/>
      <c r="D97" s="1"/>
      <c r="E97" s="1"/>
    </row>
    <row r="98" spans="1:5" ht="12.75" x14ac:dyDescent="0.2">
      <c r="A98" s="1"/>
      <c r="D98" s="1"/>
      <c r="E98" s="1"/>
    </row>
    <row r="99" spans="1:5" ht="12.75" x14ac:dyDescent="0.2">
      <c r="A99" s="1"/>
      <c r="D99" s="1"/>
      <c r="E99" s="1"/>
    </row>
    <row r="100" spans="1:5" ht="12.75" x14ac:dyDescent="0.2">
      <c r="A100" s="1"/>
      <c r="D100" s="1"/>
      <c r="E100" s="1"/>
    </row>
    <row r="101" spans="1:5" ht="12.75" x14ac:dyDescent="0.2">
      <c r="A101" s="1"/>
      <c r="D101" s="1"/>
      <c r="E101" s="1"/>
    </row>
    <row r="102" spans="1:5" ht="12.75" x14ac:dyDescent="0.2">
      <c r="A102" s="1"/>
      <c r="D102" s="1"/>
      <c r="E102" s="1"/>
    </row>
    <row r="103" spans="1:5" ht="12.75" x14ac:dyDescent="0.2">
      <c r="A103" s="1"/>
      <c r="D103" s="1"/>
      <c r="E103" s="1"/>
    </row>
    <row r="104" spans="1:5" ht="12.75" x14ac:dyDescent="0.2">
      <c r="A104" s="1"/>
      <c r="D104" s="1"/>
      <c r="E104" s="1"/>
    </row>
    <row r="105" spans="1:5" ht="12.75" x14ac:dyDescent="0.2">
      <c r="A105" s="1"/>
      <c r="D105" s="1"/>
      <c r="E105" s="1"/>
    </row>
    <row r="106" spans="1:5" ht="12.75" x14ac:dyDescent="0.2">
      <c r="A106" s="1"/>
      <c r="D106" s="1"/>
      <c r="E106" s="1"/>
    </row>
    <row r="107" spans="1:5" ht="12.75" x14ac:dyDescent="0.2">
      <c r="A107" s="1"/>
      <c r="D107" s="1"/>
      <c r="E107" s="1"/>
    </row>
    <row r="108" spans="1:5" ht="12.75" x14ac:dyDescent="0.2">
      <c r="A108" s="1"/>
      <c r="D108" s="1"/>
      <c r="E108" s="1"/>
    </row>
    <row r="109" spans="1:5" ht="12.75" x14ac:dyDescent="0.2">
      <c r="A109" s="1"/>
      <c r="D109" s="1"/>
      <c r="E109" s="1"/>
    </row>
    <row r="110" spans="1:5" ht="12.75" x14ac:dyDescent="0.2">
      <c r="A110" s="1"/>
      <c r="D110" s="1"/>
      <c r="E110" s="1"/>
    </row>
    <row r="111" spans="1:5" ht="12.75" x14ac:dyDescent="0.2">
      <c r="A111" s="1"/>
      <c r="D111" s="1"/>
      <c r="E111" s="1"/>
    </row>
    <row r="112" spans="1:5" ht="12.75" x14ac:dyDescent="0.2">
      <c r="A112" s="1"/>
      <c r="D112" s="1"/>
      <c r="E112" s="1"/>
    </row>
    <row r="113" spans="1:5" ht="12.75" x14ac:dyDescent="0.2">
      <c r="A113" s="1"/>
      <c r="D113" s="1"/>
      <c r="E113" s="1"/>
    </row>
    <row r="114" spans="1:5" ht="12.75" x14ac:dyDescent="0.2">
      <c r="A114" s="1"/>
      <c r="D114" s="1"/>
      <c r="E114" s="1"/>
    </row>
    <row r="115" spans="1:5" ht="12.75" x14ac:dyDescent="0.2">
      <c r="A115" s="1"/>
      <c r="D115" s="1"/>
      <c r="E115" s="1"/>
    </row>
    <row r="116" spans="1:5" ht="12.75" x14ac:dyDescent="0.2">
      <c r="A116" s="1"/>
      <c r="D116" s="1"/>
      <c r="E116" s="1"/>
    </row>
    <row r="117" spans="1:5" ht="12.75" x14ac:dyDescent="0.2">
      <c r="A117" s="1"/>
      <c r="D117" s="1"/>
      <c r="E117" s="1"/>
    </row>
    <row r="118" spans="1:5" ht="12.75" x14ac:dyDescent="0.2">
      <c r="A118" s="1"/>
      <c r="D118" s="1"/>
      <c r="E118" s="1"/>
    </row>
    <row r="119" spans="1:5" ht="12.75" x14ac:dyDescent="0.2">
      <c r="A119" s="1"/>
      <c r="D119" s="1"/>
      <c r="E119" s="1"/>
    </row>
    <row r="120" spans="1:5" ht="12.75" x14ac:dyDescent="0.2">
      <c r="A120" s="1"/>
      <c r="D120" s="1"/>
      <c r="E120" s="1"/>
    </row>
    <row r="121" spans="1:5" ht="12.75" x14ac:dyDescent="0.2">
      <c r="A121" s="1"/>
      <c r="D121" s="1"/>
      <c r="E121" s="1"/>
    </row>
    <row r="122" spans="1:5" ht="12.75" x14ac:dyDescent="0.2">
      <c r="A122" s="1"/>
      <c r="D122" s="1"/>
      <c r="E122" s="1"/>
    </row>
    <row r="123" spans="1:5" ht="12.75" x14ac:dyDescent="0.2">
      <c r="A123" s="1"/>
      <c r="D123" s="1"/>
      <c r="E123" s="1"/>
    </row>
    <row r="124" spans="1:5" ht="12.75" x14ac:dyDescent="0.2">
      <c r="A124" s="1"/>
      <c r="D124" s="1"/>
      <c r="E124" s="1"/>
    </row>
    <row r="125" spans="1:5" ht="12.75" x14ac:dyDescent="0.2">
      <c r="A125" s="1"/>
      <c r="D125" s="1"/>
      <c r="E125" s="1"/>
    </row>
    <row r="126" spans="1:5" ht="12.75" x14ac:dyDescent="0.2">
      <c r="A126" s="1"/>
      <c r="D126" s="1"/>
      <c r="E126" s="1"/>
    </row>
    <row r="127" spans="1:5" ht="12.75" x14ac:dyDescent="0.2">
      <c r="A127" s="1"/>
      <c r="D127" s="1"/>
      <c r="E127" s="1"/>
    </row>
    <row r="128" spans="1:5" ht="12.75" x14ac:dyDescent="0.2">
      <c r="A128" s="1"/>
      <c r="D128" s="1"/>
      <c r="E128" s="1"/>
    </row>
    <row r="129" spans="1:5" ht="12.75" x14ac:dyDescent="0.2">
      <c r="A129" s="1"/>
      <c r="D129" s="1"/>
      <c r="E129" s="1"/>
    </row>
    <row r="130" spans="1:5" ht="12.75" x14ac:dyDescent="0.2">
      <c r="A130" s="1"/>
      <c r="D130" s="1"/>
      <c r="E130" s="1"/>
    </row>
    <row r="131" spans="1:5" ht="12.75" x14ac:dyDescent="0.2">
      <c r="A131" s="1"/>
      <c r="D131" s="1"/>
      <c r="E131" s="1"/>
    </row>
    <row r="132" spans="1:5" ht="12.75" x14ac:dyDescent="0.2">
      <c r="A132" s="1"/>
      <c r="D132" s="1"/>
      <c r="E132" s="1"/>
    </row>
    <row r="133" spans="1:5" ht="12.75" x14ac:dyDescent="0.2">
      <c r="A133" s="1"/>
      <c r="D133" s="1"/>
      <c r="E133" s="1"/>
    </row>
    <row r="134" spans="1:5" ht="12.75" x14ac:dyDescent="0.2">
      <c r="A134" s="1"/>
      <c r="D134" s="1"/>
      <c r="E134" s="1"/>
    </row>
    <row r="135" spans="1:5" ht="12.75" x14ac:dyDescent="0.2">
      <c r="A135" s="1"/>
      <c r="D135" s="1"/>
      <c r="E135" s="1"/>
    </row>
    <row r="136" spans="1:5" ht="12.75" x14ac:dyDescent="0.2">
      <c r="A136" s="1"/>
      <c r="D136" s="1"/>
      <c r="E136" s="1"/>
    </row>
    <row r="137" spans="1:5" ht="12.75" x14ac:dyDescent="0.2">
      <c r="A137" s="1"/>
      <c r="D137" s="1"/>
      <c r="E137" s="1"/>
    </row>
    <row r="138" spans="1:5" ht="12.75" x14ac:dyDescent="0.2">
      <c r="A138" s="1"/>
      <c r="D138" s="1"/>
      <c r="E138" s="1"/>
    </row>
    <row r="139" spans="1:5" ht="12.75" x14ac:dyDescent="0.2">
      <c r="A139" s="1"/>
      <c r="D139" s="1"/>
      <c r="E139" s="1"/>
    </row>
    <row r="140" spans="1:5" ht="12.75" x14ac:dyDescent="0.2">
      <c r="A140" s="1"/>
      <c r="D140" s="1"/>
      <c r="E140" s="1"/>
    </row>
    <row r="141" spans="1:5" ht="12.75" x14ac:dyDescent="0.2">
      <c r="A141" s="1"/>
      <c r="D141" s="1"/>
      <c r="E141" s="1"/>
    </row>
    <row r="142" spans="1:5" ht="12.75" x14ac:dyDescent="0.2">
      <c r="A142" s="1"/>
      <c r="D142" s="1"/>
      <c r="E142" s="1"/>
    </row>
    <row r="143" spans="1:5" ht="12.75" x14ac:dyDescent="0.2">
      <c r="A143" s="1"/>
      <c r="D143" s="1"/>
      <c r="E143" s="1"/>
    </row>
    <row r="144" spans="1:5" ht="12.75" x14ac:dyDescent="0.2">
      <c r="A144" s="1"/>
      <c r="D144" s="1"/>
      <c r="E144" s="1"/>
    </row>
    <row r="145" spans="1:5" ht="12.75" x14ac:dyDescent="0.2">
      <c r="A145" s="1"/>
      <c r="D145" s="1"/>
      <c r="E145" s="1"/>
    </row>
    <row r="146" spans="1:5" ht="12.75" x14ac:dyDescent="0.2">
      <c r="A146" s="1"/>
      <c r="D146" s="1"/>
      <c r="E146" s="1"/>
    </row>
    <row r="147" spans="1:5" ht="12.75" x14ac:dyDescent="0.2">
      <c r="A147" s="1"/>
      <c r="D147" s="1"/>
      <c r="E147" s="1"/>
    </row>
    <row r="148" spans="1:5" ht="12.75" x14ac:dyDescent="0.2">
      <c r="A148" s="1"/>
      <c r="D148" s="1"/>
      <c r="E148" s="1"/>
    </row>
    <row r="149" spans="1:5" ht="12.75" x14ac:dyDescent="0.2">
      <c r="A149" s="1"/>
      <c r="D149" s="1"/>
      <c r="E149" s="1"/>
    </row>
    <row r="150" spans="1:5" ht="12.75" x14ac:dyDescent="0.2">
      <c r="A150" s="1"/>
      <c r="D150" s="1"/>
      <c r="E150" s="1"/>
    </row>
    <row r="151" spans="1:5" ht="12.75" x14ac:dyDescent="0.2">
      <c r="A151" s="1"/>
      <c r="D151" s="1"/>
      <c r="E151" s="1"/>
    </row>
  </sheetData>
  <mergeCells count="2">
    <mergeCell ref="A1:K1"/>
    <mergeCell ref="A2:K2"/>
  </mergeCells>
  <conditionalFormatting sqref="D7:D86">
    <cfRule type="cellIs" dxfId="46" priority="4" operator="equal">
      <formula>"HIGH"</formula>
    </cfRule>
    <cfRule type="cellIs" dxfId="45" priority="5" operator="equal">
      <formula>"MEDIUM"</formula>
    </cfRule>
    <cfRule type="cellIs" dxfId="44" priority="6" operator="equal">
      <formula>"LOW"</formula>
    </cfRule>
  </conditionalFormatting>
  <conditionalFormatting sqref="J7:J17">
    <cfRule type="cellIs" dxfId="43" priority="1" operator="equal">
      <formula>"HIGH"</formula>
    </cfRule>
    <cfRule type="cellIs" dxfId="42" priority="2" operator="equal">
      <formula>"MEDIUM"</formula>
    </cfRule>
    <cfRule type="cellIs" dxfId="41" priority="3" operator="equal">
      <formula>"LOW"</formula>
    </cfRule>
  </conditionalFormatting>
  <dataValidations count="2">
    <dataValidation type="custom" allowBlank="1" showDropDown="1" sqref="O3:P4 G7:G17 K7:K17 A7:A86 E7:E86" xr:uid="{00000000-0002-0000-0200-000000000000}">
      <formula1>AND(ISNUMBER(A3),(NOT(OR(NOT(ISERROR(DATEVALUE(A3))), AND(ISNUMBER(A3), LEFT(CELL("format", A3))="D")))))</formula1>
    </dataValidation>
    <dataValidation type="list" allowBlank="1" sqref="J7:J17 D7:D86" xr:uid="{00000000-0002-0000-0200-000001000000}">
      <formula1>"LOW,MEDIUM,HIGH"</formula1>
    </dataValidation>
  </dataValidations>
  <pageMargins left="0.7" right="0.7" top="0.75" bottom="0.75" header="0.3" footer="0.3"/>
  <ignoredErrors>
    <ignoredError sqref="G16:G17 A80:A86" listDataValidation="1"/>
  </ignoredErrors>
  <tableParts count="3">
    <tablePart r:id="rId1"/>
    <tablePart r:id="rId2"/>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P254"/>
  <sheetViews>
    <sheetView workbookViewId="0">
      <selection activeCell="C260" sqref="C260"/>
    </sheetView>
  </sheetViews>
  <sheetFormatPr defaultColWidth="12.5703125" defaultRowHeight="15.75" customHeight="1" x14ac:dyDescent="0.2"/>
  <cols>
    <col min="1" max="1" width="12.5703125" style="21"/>
    <col min="2" max="2" width="25.7109375" style="21" customWidth="1"/>
    <col min="3" max="3" width="69.140625" style="21" customWidth="1"/>
    <col min="4" max="7" width="12.5703125" style="21"/>
    <col min="8" max="8" width="28.140625" style="21" customWidth="1"/>
    <col min="9" max="9" width="83.140625" style="21" customWidth="1"/>
    <col min="10" max="13" width="12.5703125" style="21"/>
    <col min="14" max="14" width="21.28515625" style="21" customWidth="1"/>
    <col min="15" max="15" width="18.42578125" style="21" customWidth="1"/>
    <col min="16" max="16" width="25.42578125" style="21" customWidth="1"/>
    <col min="17" max="16384" width="12.5703125" style="21"/>
  </cols>
  <sheetData>
    <row r="1" spans="1:16" ht="38.25" x14ac:dyDescent="0.2">
      <c r="A1" s="25" t="s">
        <v>520</v>
      </c>
      <c r="B1" s="26"/>
      <c r="C1" s="26"/>
      <c r="D1" s="26"/>
      <c r="E1" s="26"/>
      <c r="F1" s="26"/>
      <c r="G1" s="26"/>
      <c r="H1" s="26"/>
      <c r="I1" s="26"/>
      <c r="J1" s="26"/>
      <c r="K1" s="26"/>
    </row>
    <row r="2" spans="1:16" ht="22.5" customHeight="1" x14ac:dyDescent="0.4">
      <c r="A2" s="27" t="s">
        <v>521</v>
      </c>
      <c r="B2" s="26"/>
      <c r="C2" s="26"/>
      <c r="D2" s="26"/>
      <c r="E2" s="26"/>
      <c r="F2" s="26"/>
      <c r="G2" s="26"/>
      <c r="H2" s="26"/>
      <c r="I2" s="26"/>
      <c r="J2" s="26"/>
      <c r="K2" s="26"/>
      <c r="N2" s="15" t="s">
        <v>17</v>
      </c>
      <c r="O2" s="15" t="s">
        <v>18</v>
      </c>
      <c r="P2" s="15" t="s">
        <v>3</v>
      </c>
    </row>
    <row r="3" spans="1:16" ht="22.5" customHeight="1" x14ac:dyDescent="0.2">
      <c r="A3" s="1"/>
      <c r="B3" s="1"/>
      <c r="C3" s="2"/>
      <c r="D3" s="1"/>
      <c r="E3" s="2"/>
      <c r="F3" s="1"/>
      <c r="G3" s="1"/>
      <c r="H3" s="1"/>
      <c r="I3" s="2"/>
      <c r="J3" s="1"/>
      <c r="K3" s="2"/>
      <c r="N3" s="18" t="s">
        <v>19</v>
      </c>
      <c r="O3" s="18">
        <f>Detailed_Analysis_3[[#Totals],[Step Num]]</f>
        <v>247</v>
      </c>
      <c r="P3" s="18">
        <f>Detailed_Analysis_3[[#Totals],[Effort Hours (hrs)]]</f>
        <v>11932</v>
      </c>
    </row>
    <row r="4" spans="1:16" ht="22.5" customHeight="1" x14ac:dyDescent="0.2">
      <c r="A4" s="1"/>
      <c r="B4" s="1"/>
      <c r="C4" s="2"/>
      <c r="D4" s="1"/>
      <c r="E4" s="2"/>
      <c r="F4" s="1"/>
      <c r="G4" s="1"/>
      <c r="H4" s="1"/>
      <c r="I4" s="2"/>
      <c r="J4" s="1"/>
      <c r="K4" s="2"/>
      <c r="N4" s="18" t="s">
        <v>20</v>
      </c>
      <c r="O4" s="18">
        <f>Streamlined_Analysis_3[[#Totals],[Step Num]]</f>
        <v>21</v>
      </c>
      <c r="P4" s="18">
        <f>Streamlined_Analysis_3[[#Totals],[Effort Hours (hrs)]]</f>
        <v>1092</v>
      </c>
    </row>
    <row r="5" spans="1:16" ht="12.75" x14ac:dyDescent="0.2">
      <c r="A5" s="1"/>
      <c r="B5" s="1"/>
      <c r="C5" s="2"/>
      <c r="D5" s="1"/>
      <c r="E5" s="2"/>
      <c r="F5" s="1"/>
      <c r="G5" s="1"/>
      <c r="H5" s="1"/>
      <c r="I5" s="2"/>
      <c r="J5" s="1"/>
      <c r="K5" s="2"/>
    </row>
    <row r="6" spans="1:16" ht="29.25" customHeight="1" x14ac:dyDescent="0.2">
      <c r="A6" s="15" t="s">
        <v>21</v>
      </c>
      <c r="B6" s="15" t="s">
        <v>22</v>
      </c>
      <c r="C6" s="16" t="s">
        <v>23</v>
      </c>
      <c r="D6" s="15" t="s">
        <v>24</v>
      </c>
      <c r="E6" s="16" t="s">
        <v>3</v>
      </c>
      <c r="F6" s="1"/>
      <c r="G6" s="15" t="s">
        <v>21</v>
      </c>
      <c r="H6" s="15" t="s">
        <v>22</v>
      </c>
      <c r="I6" s="16" t="s">
        <v>23</v>
      </c>
      <c r="J6" s="15" t="s">
        <v>24</v>
      </c>
      <c r="K6" s="16" t="s">
        <v>3</v>
      </c>
    </row>
    <row r="7" spans="1:16" ht="22.5" customHeight="1" x14ac:dyDescent="0.2">
      <c r="A7" s="4">
        <v>7.1</v>
      </c>
      <c r="B7" s="5" t="s">
        <v>362</v>
      </c>
      <c r="C7" s="5" t="s">
        <v>522</v>
      </c>
      <c r="D7" s="7" t="s">
        <v>27</v>
      </c>
      <c r="E7" s="6">
        <f t="shared" ref="E7:E253" si="0">IF(D7="LOW", 16, IF(D7="MEDIUM", 40, IF(D7="HIGH", 100, "")))</f>
        <v>16</v>
      </c>
      <c r="F7" s="1"/>
      <c r="G7" s="4">
        <v>7.2</v>
      </c>
      <c r="H7" s="5" t="s">
        <v>523</v>
      </c>
      <c r="I7" s="5" t="s">
        <v>524</v>
      </c>
      <c r="J7" s="7" t="s">
        <v>35</v>
      </c>
      <c r="K7" s="6">
        <f t="shared" ref="K7:K27" si="1">IF(J7="LOW", 16, IF(J7="MEDIUM", 40, IF(J7="HIGH", 100, "")))</f>
        <v>100</v>
      </c>
    </row>
    <row r="8" spans="1:16" ht="22.5" customHeight="1" x14ac:dyDescent="0.2">
      <c r="A8" s="4">
        <v>7.2</v>
      </c>
      <c r="B8" s="5" t="s">
        <v>523</v>
      </c>
      <c r="C8" s="5" t="s">
        <v>524</v>
      </c>
      <c r="D8" s="7" t="s">
        <v>30</v>
      </c>
      <c r="E8" s="6">
        <f t="shared" si="0"/>
        <v>40</v>
      </c>
      <c r="F8" s="1"/>
      <c r="G8" s="4">
        <v>7.4</v>
      </c>
      <c r="H8" s="5" t="s">
        <v>525</v>
      </c>
      <c r="I8" s="5" t="s">
        <v>526</v>
      </c>
      <c r="J8" s="7" t="s">
        <v>30</v>
      </c>
      <c r="K8" s="6">
        <f t="shared" si="1"/>
        <v>40</v>
      </c>
    </row>
    <row r="9" spans="1:16" ht="22.5" customHeight="1" x14ac:dyDescent="0.2">
      <c r="A9" s="4">
        <v>7.3</v>
      </c>
      <c r="B9" s="5" t="s">
        <v>527</v>
      </c>
      <c r="C9" s="5" t="s">
        <v>528</v>
      </c>
      <c r="D9" s="7" t="s">
        <v>30</v>
      </c>
      <c r="E9" s="6">
        <f t="shared" si="0"/>
        <v>40</v>
      </c>
      <c r="F9" s="1"/>
      <c r="G9" s="4">
        <v>7.6</v>
      </c>
      <c r="H9" s="5" t="s">
        <v>529</v>
      </c>
      <c r="I9" s="5" t="s">
        <v>530</v>
      </c>
      <c r="J9" s="7" t="s">
        <v>30</v>
      </c>
      <c r="K9" s="6">
        <f t="shared" si="1"/>
        <v>40</v>
      </c>
    </row>
    <row r="10" spans="1:16" ht="22.5" customHeight="1" x14ac:dyDescent="0.2">
      <c r="A10" s="4">
        <v>7.4</v>
      </c>
      <c r="B10" s="5" t="s">
        <v>525</v>
      </c>
      <c r="C10" s="5" t="s">
        <v>526</v>
      </c>
      <c r="D10" s="7" t="s">
        <v>30</v>
      </c>
      <c r="E10" s="6">
        <f t="shared" si="0"/>
        <v>40</v>
      </c>
      <c r="F10" s="1"/>
      <c r="G10" s="4">
        <v>7.7</v>
      </c>
      <c r="H10" s="5" t="s">
        <v>531</v>
      </c>
      <c r="I10" s="5" t="s">
        <v>532</v>
      </c>
      <c r="J10" s="7" t="s">
        <v>30</v>
      </c>
      <c r="K10" s="6">
        <f t="shared" si="1"/>
        <v>40</v>
      </c>
    </row>
    <row r="11" spans="1:16" ht="22.5" customHeight="1" x14ac:dyDescent="0.2">
      <c r="A11" s="4">
        <v>7.5</v>
      </c>
      <c r="B11" s="5" t="s">
        <v>533</v>
      </c>
      <c r="C11" s="5" t="s">
        <v>534</v>
      </c>
      <c r="D11" s="7" t="s">
        <v>30</v>
      </c>
      <c r="E11" s="6">
        <f t="shared" si="0"/>
        <v>40</v>
      </c>
      <c r="F11" s="1"/>
      <c r="G11" s="4">
        <v>8.1199999999999992</v>
      </c>
      <c r="H11" s="5" t="s">
        <v>535</v>
      </c>
      <c r="I11" s="5" t="s">
        <v>536</v>
      </c>
      <c r="J11" s="7" t="s">
        <v>30</v>
      </c>
      <c r="K11" s="6">
        <f t="shared" si="1"/>
        <v>40</v>
      </c>
    </row>
    <row r="12" spans="1:16" ht="22.5" customHeight="1" x14ac:dyDescent="0.2">
      <c r="A12" s="4">
        <v>7.6</v>
      </c>
      <c r="B12" s="5" t="s">
        <v>529</v>
      </c>
      <c r="C12" s="5" t="s">
        <v>530</v>
      </c>
      <c r="D12" s="7" t="s">
        <v>35</v>
      </c>
      <c r="E12" s="6">
        <f t="shared" si="0"/>
        <v>100</v>
      </c>
      <c r="F12" s="1"/>
      <c r="G12" s="4">
        <v>9.1999999999999993</v>
      </c>
      <c r="H12" s="5" t="s">
        <v>537</v>
      </c>
      <c r="I12" s="5" t="s">
        <v>538</v>
      </c>
      <c r="J12" s="7" t="s">
        <v>30</v>
      </c>
      <c r="K12" s="6">
        <f t="shared" si="1"/>
        <v>40</v>
      </c>
    </row>
    <row r="13" spans="1:16" ht="22.5" customHeight="1" x14ac:dyDescent="0.2">
      <c r="A13" s="4">
        <v>7.7</v>
      </c>
      <c r="B13" s="5" t="s">
        <v>531</v>
      </c>
      <c r="C13" s="5" t="s">
        <v>532</v>
      </c>
      <c r="D13" s="7" t="s">
        <v>30</v>
      </c>
      <c r="E13" s="6">
        <f t="shared" si="0"/>
        <v>40</v>
      </c>
      <c r="F13" s="1"/>
      <c r="G13" s="4">
        <v>9.8000000000000007</v>
      </c>
      <c r="H13" s="5" t="s">
        <v>539</v>
      </c>
      <c r="I13" s="5" t="s">
        <v>540</v>
      </c>
      <c r="J13" s="7" t="s">
        <v>30</v>
      </c>
      <c r="K13" s="6">
        <f t="shared" si="1"/>
        <v>40</v>
      </c>
    </row>
    <row r="14" spans="1:16" ht="22.5" customHeight="1" x14ac:dyDescent="0.2">
      <c r="A14" s="4">
        <v>7.8</v>
      </c>
      <c r="B14" s="5" t="s">
        <v>541</v>
      </c>
      <c r="C14" s="5" t="s">
        <v>542</v>
      </c>
      <c r="D14" s="7" t="s">
        <v>27</v>
      </c>
      <c r="E14" s="6">
        <f t="shared" si="0"/>
        <v>16</v>
      </c>
      <c r="F14" s="1"/>
      <c r="G14" s="4">
        <v>11.1</v>
      </c>
      <c r="H14" s="5" t="s">
        <v>543</v>
      </c>
      <c r="I14" s="5" t="s">
        <v>544</v>
      </c>
      <c r="J14" s="7" t="s">
        <v>30</v>
      </c>
      <c r="K14" s="6">
        <f t="shared" si="1"/>
        <v>40</v>
      </c>
    </row>
    <row r="15" spans="1:16" ht="22.5" customHeight="1" x14ac:dyDescent="0.2">
      <c r="A15" s="4">
        <v>8.1</v>
      </c>
      <c r="B15" s="5" t="s">
        <v>545</v>
      </c>
      <c r="C15" s="5" t="s">
        <v>546</v>
      </c>
      <c r="D15" s="7" t="s">
        <v>30</v>
      </c>
      <c r="E15" s="6">
        <f t="shared" si="0"/>
        <v>40</v>
      </c>
      <c r="F15" s="1"/>
      <c r="G15" s="4">
        <v>11.6</v>
      </c>
      <c r="H15" s="5" t="s">
        <v>547</v>
      </c>
      <c r="I15" s="5" t="s">
        <v>548</v>
      </c>
      <c r="J15" s="7" t="s">
        <v>30</v>
      </c>
      <c r="K15" s="6">
        <f t="shared" si="1"/>
        <v>40</v>
      </c>
    </row>
    <row r="16" spans="1:16" ht="22.5" customHeight="1" x14ac:dyDescent="0.2">
      <c r="A16" s="4">
        <v>8.1999999999999993</v>
      </c>
      <c r="B16" s="5" t="s">
        <v>549</v>
      </c>
      <c r="C16" s="5" t="s">
        <v>550</v>
      </c>
      <c r="D16" s="7" t="s">
        <v>30</v>
      </c>
      <c r="E16" s="6">
        <f t="shared" si="0"/>
        <v>40</v>
      </c>
      <c r="F16" s="1"/>
      <c r="G16" s="4">
        <v>14.11</v>
      </c>
      <c r="H16" s="5" t="s">
        <v>551</v>
      </c>
      <c r="I16" s="5" t="s">
        <v>552</v>
      </c>
      <c r="J16" s="7" t="s">
        <v>30</v>
      </c>
      <c r="K16" s="6">
        <f t="shared" si="1"/>
        <v>40</v>
      </c>
    </row>
    <row r="17" spans="1:11" ht="22.5" customHeight="1" x14ac:dyDescent="0.2">
      <c r="A17" s="4">
        <v>8.3000000000000007</v>
      </c>
      <c r="B17" s="5" t="s">
        <v>553</v>
      </c>
      <c r="C17" s="5" t="s">
        <v>554</v>
      </c>
      <c r="D17" s="7" t="s">
        <v>27</v>
      </c>
      <c r="E17" s="6">
        <f t="shared" si="0"/>
        <v>16</v>
      </c>
      <c r="F17" s="1"/>
      <c r="G17" s="4">
        <v>15.6</v>
      </c>
      <c r="H17" s="5" t="s">
        <v>555</v>
      </c>
      <c r="I17" s="5" t="s">
        <v>556</v>
      </c>
      <c r="J17" s="7" t="s">
        <v>27</v>
      </c>
      <c r="K17" s="6">
        <f t="shared" si="1"/>
        <v>16</v>
      </c>
    </row>
    <row r="18" spans="1:11" ht="22.5" customHeight="1" x14ac:dyDescent="0.2">
      <c r="A18" s="4">
        <v>8.4</v>
      </c>
      <c r="B18" s="5" t="s">
        <v>557</v>
      </c>
      <c r="C18" s="5" t="s">
        <v>558</v>
      </c>
      <c r="D18" s="7" t="s">
        <v>30</v>
      </c>
      <c r="E18" s="6">
        <f t="shared" si="0"/>
        <v>40</v>
      </c>
      <c r="F18" s="1"/>
      <c r="G18" s="4">
        <v>16.34</v>
      </c>
      <c r="H18" s="5" t="s">
        <v>559</v>
      </c>
      <c r="I18" s="5" t="s">
        <v>560</v>
      </c>
      <c r="J18" s="7" t="s">
        <v>30</v>
      </c>
      <c r="K18" s="6">
        <f t="shared" si="1"/>
        <v>40</v>
      </c>
    </row>
    <row r="19" spans="1:11" ht="22.5" customHeight="1" x14ac:dyDescent="0.2">
      <c r="A19" s="4">
        <v>8.5</v>
      </c>
      <c r="B19" s="5" t="s">
        <v>561</v>
      </c>
      <c r="C19" s="5" t="s">
        <v>562</v>
      </c>
      <c r="D19" s="7" t="s">
        <v>30</v>
      </c>
      <c r="E19" s="6">
        <f t="shared" si="0"/>
        <v>40</v>
      </c>
      <c r="G19" s="4">
        <v>18.100000000000001</v>
      </c>
      <c r="H19" s="5" t="s">
        <v>563</v>
      </c>
      <c r="I19" s="5" t="s">
        <v>564</v>
      </c>
      <c r="J19" s="7" t="s">
        <v>30</v>
      </c>
      <c r="K19" s="6">
        <f t="shared" si="1"/>
        <v>40</v>
      </c>
    </row>
    <row r="20" spans="1:11" ht="22.5" customHeight="1" x14ac:dyDescent="0.2">
      <c r="A20" s="4">
        <v>8.6</v>
      </c>
      <c r="B20" s="5" t="s">
        <v>565</v>
      </c>
      <c r="C20" s="5" t="s">
        <v>566</v>
      </c>
      <c r="D20" s="7" t="s">
        <v>30</v>
      </c>
      <c r="E20" s="6">
        <f t="shared" si="0"/>
        <v>40</v>
      </c>
      <c r="G20" s="4">
        <v>18.399999999999999</v>
      </c>
      <c r="H20" s="5" t="s">
        <v>567</v>
      </c>
      <c r="I20" s="5" t="s">
        <v>568</v>
      </c>
      <c r="J20" s="7" t="s">
        <v>30</v>
      </c>
      <c r="K20" s="6">
        <f t="shared" si="1"/>
        <v>40</v>
      </c>
    </row>
    <row r="21" spans="1:11" ht="22.5" customHeight="1" x14ac:dyDescent="0.2">
      <c r="A21" s="4">
        <v>8.6999999999999993</v>
      </c>
      <c r="B21" s="5" t="s">
        <v>569</v>
      </c>
      <c r="C21" s="5" t="s">
        <v>570</v>
      </c>
      <c r="D21" s="7" t="s">
        <v>27</v>
      </c>
      <c r="E21" s="6">
        <f t="shared" si="0"/>
        <v>16</v>
      </c>
      <c r="G21" s="4" t="s">
        <v>339</v>
      </c>
      <c r="H21" s="5" t="s">
        <v>571</v>
      </c>
      <c r="I21" s="5" t="s">
        <v>572</v>
      </c>
      <c r="J21" s="7" t="s">
        <v>35</v>
      </c>
      <c r="K21" s="6">
        <f t="shared" si="1"/>
        <v>100</v>
      </c>
    </row>
    <row r="22" spans="1:11" ht="22.5" customHeight="1" x14ac:dyDescent="0.2">
      <c r="A22" s="4">
        <v>8.8000000000000007</v>
      </c>
      <c r="B22" s="5" t="s">
        <v>573</v>
      </c>
      <c r="C22" s="5" t="s">
        <v>574</v>
      </c>
      <c r="D22" s="7" t="s">
        <v>30</v>
      </c>
      <c r="E22" s="6">
        <f t="shared" si="0"/>
        <v>40</v>
      </c>
      <c r="G22" s="4" t="s">
        <v>74</v>
      </c>
      <c r="H22" s="5" t="s">
        <v>575</v>
      </c>
      <c r="I22" s="5" t="s">
        <v>576</v>
      </c>
      <c r="J22" s="7" t="s">
        <v>30</v>
      </c>
      <c r="K22" s="6">
        <f t="shared" si="1"/>
        <v>40</v>
      </c>
    </row>
    <row r="23" spans="1:11" ht="22.5" customHeight="1" x14ac:dyDescent="0.2">
      <c r="A23" s="4">
        <v>8.9</v>
      </c>
      <c r="B23" s="5" t="s">
        <v>577</v>
      </c>
      <c r="C23" s="5" t="s">
        <v>578</v>
      </c>
      <c r="D23" s="7" t="s">
        <v>30</v>
      </c>
      <c r="E23" s="6">
        <f t="shared" si="0"/>
        <v>40</v>
      </c>
      <c r="G23" s="4" t="s">
        <v>345</v>
      </c>
      <c r="H23" s="5" t="s">
        <v>579</v>
      </c>
      <c r="I23" s="5" t="s">
        <v>580</v>
      </c>
      <c r="J23" s="7" t="s">
        <v>35</v>
      </c>
      <c r="K23" s="6">
        <f t="shared" si="1"/>
        <v>100</v>
      </c>
    </row>
    <row r="24" spans="1:11" ht="22.5" customHeight="1" x14ac:dyDescent="0.2">
      <c r="A24" s="4">
        <v>8.1</v>
      </c>
      <c r="B24" s="5" t="s">
        <v>581</v>
      </c>
      <c r="C24" s="5" t="s">
        <v>582</v>
      </c>
      <c r="D24" s="7" t="s">
        <v>30</v>
      </c>
      <c r="E24" s="6">
        <f t="shared" si="0"/>
        <v>40</v>
      </c>
      <c r="G24" s="4" t="s">
        <v>583</v>
      </c>
      <c r="H24" s="5" t="s">
        <v>584</v>
      </c>
      <c r="I24" s="5" t="s">
        <v>585</v>
      </c>
      <c r="J24" s="7" t="s">
        <v>35</v>
      </c>
      <c r="K24" s="6">
        <f t="shared" si="1"/>
        <v>100</v>
      </c>
    </row>
    <row r="25" spans="1:11" ht="22.5" customHeight="1" x14ac:dyDescent="0.2">
      <c r="A25" s="4">
        <v>8.11</v>
      </c>
      <c r="B25" s="5" t="s">
        <v>586</v>
      </c>
      <c r="C25" s="5" t="s">
        <v>587</v>
      </c>
      <c r="D25" s="7" t="s">
        <v>30</v>
      </c>
      <c r="E25" s="6">
        <f t="shared" si="0"/>
        <v>40</v>
      </c>
      <c r="G25" s="4" t="s">
        <v>583</v>
      </c>
      <c r="H25" s="5" t="s">
        <v>588</v>
      </c>
      <c r="I25" s="5" t="s">
        <v>585</v>
      </c>
      <c r="J25" s="7" t="s">
        <v>30</v>
      </c>
      <c r="K25" s="6">
        <f t="shared" si="1"/>
        <v>40</v>
      </c>
    </row>
    <row r="26" spans="1:11" ht="22.5" customHeight="1" x14ac:dyDescent="0.2">
      <c r="A26" s="4">
        <v>8.1199999999999992</v>
      </c>
      <c r="B26" s="5" t="s">
        <v>535</v>
      </c>
      <c r="C26" s="5" t="s">
        <v>536</v>
      </c>
      <c r="D26" s="7" t="s">
        <v>30</v>
      </c>
      <c r="E26" s="6">
        <f t="shared" si="0"/>
        <v>40</v>
      </c>
      <c r="G26" s="4" t="s">
        <v>583</v>
      </c>
      <c r="H26" s="5" t="s">
        <v>589</v>
      </c>
      <c r="I26" s="5" t="s">
        <v>585</v>
      </c>
      <c r="J26" s="7" t="s">
        <v>35</v>
      </c>
      <c r="K26" s="6">
        <f t="shared" si="1"/>
        <v>100</v>
      </c>
    </row>
    <row r="27" spans="1:11" ht="22.5" customHeight="1" x14ac:dyDescent="0.2">
      <c r="A27" s="4">
        <v>8.1300000000000008</v>
      </c>
      <c r="B27" s="5" t="s">
        <v>590</v>
      </c>
      <c r="C27" s="5" t="s">
        <v>591</v>
      </c>
      <c r="D27" s="7" t="s">
        <v>30</v>
      </c>
      <c r="E27" s="6">
        <f t="shared" si="0"/>
        <v>40</v>
      </c>
      <c r="G27" s="4" t="s">
        <v>583</v>
      </c>
      <c r="H27" s="5" t="s">
        <v>592</v>
      </c>
      <c r="I27" s="5" t="s">
        <v>585</v>
      </c>
      <c r="J27" s="7" t="s">
        <v>27</v>
      </c>
      <c r="K27" s="6">
        <f t="shared" si="1"/>
        <v>16</v>
      </c>
    </row>
    <row r="28" spans="1:11" ht="22.5" customHeight="1" x14ac:dyDescent="0.2">
      <c r="A28" s="4">
        <v>8.14</v>
      </c>
      <c r="B28" s="5" t="s">
        <v>593</v>
      </c>
      <c r="C28" s="5" t="s">
        <v>594</v>
      </c>
      <c r="D28" s="7" t="s">
        <v>30</v>
      </c>
      <c r="E28" s="6">
        <f t="shared" si="0"/>
        <v>40</v>
      </c>
      <c r="G28" s="18">
        <f>COUNTA(Streamlined_Analysis_3[Step Num])</f>
        <v>21</v>
      </c>
      <c r="H28" s="18"/>
      <c r="I28" s="18"/>
      <c r="J28" s="18"/>
      <c r="K28" s="18">
        <f>SUM(Streamlined_Analysis_3[Effort Hours (hrs)])</f>
        <v>1092</v>
      </c>
    </row>
    <row r="29" spans="1:11" ht="22.5" customHeight="1" x14ac:dyDescent="0.2">
      <c r="A29" s="4">
        <v>8.15</v>
      </c>
      <c r="B29" s="5" t="s">
        <v>595</v>
      </c>
      <c r="C29" s="5" t="s">
        <v>596</v>
      </c>
      <c r="D29" s="7" t="s">
        <v>30</v>
      </c>
      <c r="E29" s="6">
        <f t="shared" si="0"/>
        <v>40</v>
      </c>
    </row>
    <row r="30" spans="1:11" ht="22.5" customHeight="1" x14ac:dyDescent="0.2">
      <c r="A30" s="4">
        <v>8.16</v>
      </c>
      <c r="B30" s="5" t="s">
        <v>597</v>
      </c>
      <c r="C30" s="5" t="s">
        <v>598</v>
      </c>
      <c r="D30" s="7" t="s">
        <v>30</v>
      </c>
      <c r="E30" s="6">
        <f t="shared" si="0"/>
        <v>40</v>
      </c>
    </row>
    <row r="31" spans="1:11" ht="22.5" customHeight="1" x14ac:dyDescent="0.2">
      <c r="A31" s="4">
        <v>8.17</v>
      </c>
      <c r="B31" s="5" t="s">
        <v>586</v>
      </c>
      <c r="C31" s="5" t="s">
        <v>587</v>
      </c>
      <c r="D31" s="7" t="s">
        <v>30</v>
      </c>
      <c r="E31" s="6">
        <f t="shared" si="0"/>
        <v>40</v>
      </c>
    </row>
    <row r="32" spans="1:11" ht="22.5" customHeight="1" x14ac:dyDescent="0.2">
      <c r="A32" s="4">
        <v>8.18</v>
      </c>
      <c r="B32" s="5" t="s">
        <v>599</v>
      </c>
      <c r="C32" s="5" t="s">
        <v>600</v>
      </c>
      <c r="D32" s="7" t="s">
        <v>30</v>
      </c>
      <c r="E32" s="6">
        <f t="shared" si="0"/>
        <v>40</v>
      </c>
    </row>
    <row r="33" spans="1:5" ht="22.5" customHeight="1" x14ac:dyDescent="0.2">
      <c r="A33" s="4">
        <v>9.1</v>
      </c>
      <c r="B33" s="5" t="s">
        <v>601</v>
      </c>
      <c r="C33" s="5" t="s">
        <v>602</v>
      </c>
      <c r="D33" s="7" t="s">
        <v>30</v>
      </c>
      <c r="E33" s="6">
        <f t="shared" si="0"/>
        <v>40</v>
      </c>
    </row>
    <row r="34" spans="1:5" ht="22.5" customHeight="1" x14ac:dyDescent="0.2">
      <c r="A34" s="4">
        <v>9.1999999999999993</v>
      </c>
      <c r="B34" s="5" t="s">
        <v>537</v>
      </c>
      <c r="C34" s="5" t="s">
        <v>538</v>
      </c>
      <c r="D34" s="7" t="s">
        <v>30</v>
      </c>
      <c r="E34" s="6">
        <f t="shared" si="0"/>
        <v>40</v>
      </c>
    </row>
    <row r="35" spans="1:5" ht="22.5" customHeight="1" x14ac:dyDescent="0.2">
      <c r="A35" s="4">
        <v>9.3000000000000007</v>
      </c>
      <c r="B35" s="5" t="s">
        <v>603</v>
      </c>
      <c r="C35" s="5" t="s">
        <v>604</v>
      </c>
      <c r="D35" s="7" t="s">
        <v>30</v>
      </c>
      <c r="E35" s="6">
        <f t="shared" si="0"/>
        <v>40</v>
      </c>
    </row>
    <row r="36" spans="1:5" ht="22.5" customHeight="1" x14ac:dyDescent="0.2">
      <c r="A36" s="4">
        <v>9.4</v>
      </c>
      <c r="B36" s="5" t="s">
        <v>605</v>
      </c>
      <c r="C36" s="5" t="s">
        <v>606</v>
      </c>
      <c r="D36" s="7" t="s">
        <v>30</v>
      </c>
      <c r="E36" s="6">
        <f t="shared" si="0"/>
        <v>40</v>
      </c>
    </row>
    <row r="37" spans="1:5" ht="22.5" customHeight="1" x14ac:dyDescent="0.2">
      <c r="A37" s="4">
        <v>9.5</v>
      </c>
      <c r="B37" s="5" t="s">
        <v>498</v>
      </c>
      <c r="C37" s="5" t="s">
        <v>607</v>
      </c>
      <c r="D37" s="7" t="s">
        <v>30</v>
      </c>
      <c r="E37" s="6">
        <f t="shared" si="0"/>
        <v>40</v>
      </c>
    </row>
    <row r="38" spans="1:5" ht="22.5" customHeight="1" x14ac:dyDescent="0.2">
      <c r="A38" s="4">
        <v>9.6</v>
      </c>
      <c r="B38" s="5" t="s">
        <v>608</v>
      </c>
      <c r="C38" s="5" t="s">
        <v>609</v>
      </c>
      <c r="D38" s="7" t="s">
        <v>30</v>
      </c>
      <c r="E38" s="6">
        <f t="shared" si="0"/>
        <v>40</v>
      </c>
    </row>
    <row r="39" spans="1:5" ht="22.5" customHeight="1" x14ac:dyDescent="0.2">
      <c r="A39" s="4">
        <v>9.6999999999999993</v>
      </c>
      <c r="B39" s="5" t="s">
        <v>610</v>
      </c>
      <c r="C39" s="5" t="s">
        <v>611</v>
      </c>
      <c r="D39" s="7" t="s">
        <v>30</v>
      </c>
      <c r="E39" s="6">
        <f t="shared" si="0"/>
        <v>40</v>
      </c>
    </row>
    <row r="40" spans="1:5" ht="22.5" customHeight="1" x14ac:dyDescent="0.2">
      <c r="A40" s="4">
        <v>9.8000000000000007</v>
      </c>
      <c r="B40" s="5" t="s">
        <v>539</v>
      </c>
      <c r="C40" s="5" t="s">
        <v>540</v>
      </c>
      <c r="D40" s="7" t="s">
        <v>30</v>
      </c>
      <c r="E40" s="6">
        <f t="shared" si="0"/>
        <v>40</v>
      </c>
    </row>
    <row r="41" spans="1:5" ht="22.5" customHeight="1" x14ac:dyDescent="0.2">
      <c r="A41" s="4">
        <v>9.9</v>
      </c>
      <c r="B41" s="5" t="s">
        <v>612</v>
      </c>
      <c r="C41" s="5" t="s">
        <v>613</v>
      </c>
      <c r="D41" s="7" t="s">
        <v>30</v>
      </c>
      <c r="E41" s="6">
        <f t="shared" si="0"/>
        <v>40</v>
      </c>
    </row>
    <row r="42" spans="1:5" ht="22.5" customHeight="1" x14ac:dyDescent="0.2">
      <c r="A42" s="4">
        <v>9.1</v>
      </c>
      <c r="B42" s="5" t="s">
        <v>614</v>
      </c>
      <c r="C42" s="5" t="s">
        <v>615</v>
      </c>
      <c r="D42" s="7" t="s">
        <v>35</v>
      </c>
      <c r="E42" s="6">
        <f t="shared" si="0"/>
        <v>100</v>
      </c>
    </row>
    <row r="43" spans="1:5" ht="22.5" customHeight="1" x14ac:dyDescent="0.2">
      <c r="A43" s="4">
        <v>10.1</v>
      </c>
      <c r="B43" s="5" t="s">
        <v>616</v>
      </c>
      <c r="C43" s="5" t="s">
        <v>617</v>
      </c>
      <c r="D43" s="7" t="s">
        <v>30</v>
      </c>
      <c r="E43" s="6">
        <f t="shared" si="0"/>
        <v>40</v>
      </c>
    </row>
    <row r="44" spans="1:5" ht="22.5" customHeight="1" x14ac:dyDescent="0.2">
      <c r="A44" s="4">
        <v>10.199999999999999</v>
      </c>
      <c r="B44" s="5" t="s">
        <v>618</v>
      </c>
      <c r="C44" s="5" t="s">
        <v>619</v>
      </c>
      <c r="D44" s="7" t="s">
        <v>30</v>
      </c>
      <c r="E44" s="6">
        <f t="shared" si="0"/>
        <v>40</v>
      </c>
    </row>
    <row r="45" spans="1:5" ht="22.5" customHeight="1" x14ac:dyDescent="0.2">
      <c r="A45" s="4">
        <v>10.3</v>
      </c>
      <c r="B45" s="5" t="s">
        <v>620</v>
      </c>
      <c r="C45" s="5" t="s">
        <v>621</v>
      </c>
      <c r="D45" s="7" t="s">
        <v>30</v>
      </c>
      <c r="E45" s="6">
        <f t="shared" si="0"/>
        <v>40</v>
      </c>
    </row>
    <row r="46" spans="1:5" ht="22.5" customHeight="1" x14ac:dyDescent="0.2">
      <c r="A46" s="4">
        <v>10.4</v>
      </c>
      <c r="B46" s="5" t="s">
        <v>622</v>
      </c>
      <c r="C46" s="5" t="s">
        <v>623</v>
      </c>
      <c r="D46" s="7" t="s">
        <v>30</v>
      </c>
      <c r="E46" s="6">
        <f t="shared" si="0"/>
        <v>40</v>
      </c>
    </row>
    <row r="47" spans="1:5" ht="22.5" customHeight="1" x14ac:dyDescent="0.2">
      <c r="A47" s="4">
        <v>10.5</v>
      </c>
      <c r="B47" s="5" t="s">
        <v>624</v>
      </c>
      <c r="C47" s="5" t="s">
        <v>625</v>
      </c>
      <c r="D47" s="7" t="s">
        <v>30</v>
      </c>
      <c r="E47" s="6">
        <f t="shared" si="0"/>
        <v>40</v>
      </c>
    </row>
    <row r="48" spans="1:5" ht="22.5" customHeight="1" x14ac:dyDescent="0.2">
      <c r="A48" s="4">
        <v>10.6</v>
      </c>
      <c r="B48" s="5" t="s">
        <v>626</v>
      </c>
      <c r="C48" s="5" t="s">
        <v>627</v>
      </c>
      <c r="D48" s="7" t="s">
        <v>35</v>
      </c>
      <c r="E48" s="6">
        <f t="shared" si="0"/>
        <v>100</v>
      </c>
    </row>
    <row r="49" spans="1:5" ht="22.5" customHeight="1" x14ac:dyDescent="0.2">
      <c r="A49" s="4">
        <v>10.7</v>
      </c>
      <c r="B49" s="5" t="s">
        <v>628</v>
      </c>
      <c r="C49" s="5" t="s">
        <v>629</v>
      </c>
      <c r="D49" s="7" t="s">
        <v>30</v>
      </c>
      <c r="E49" s="6">
        <f t="shared" si="0"/>
        <v>40</v>
      </c>
    </row>
    <row r="50" spans="1:5" ht="22.5" customHeight="1" x14ac:dyDescent="0.2">
      <c r="A50" s="4">
        <v>10.8</v>
      </c>
      <c r="B50" s="5" t="s">
        <v>586</v>
      </c>
      <c r="C50" s="5" t="s">
        <v>630</v>
      </c>
      <c r="D50" s="7" t="s">
        <v>30</v>
      </c>
      <c r="E50" s="6">
        <f t="shared" si="0"/>
        <v>40</v>
      </c>
    </row>
    <row r="51" spans="1:5" ht="22.5" customHeight="1" x14ac:dyDescent="0.2">
      <c r="A51" s="4">
        <v>10.9</v>
      </c>
      <c r="B51" s="5" t="s">
        <v>631</v>
      </c>
      <c r="C51" s="5" t="s">
        <v>632</v>
      </c>
      <c r="D51" s="7" t="s">
        <v>30</v>
      </c>
      <c r="E51" s="6">
        <f t="shared" si="0"/>
        <v>40</v>
      </c>
    </row>
    <row r="52" spans="1:5" ht="22.5" customHeight="1" x14ac:dyDescent="0.2">
      <c r="A52" s="4">
        <v>10.1</v>
      </c>
      <c r="B52" s="5" t="s">
        <v>633</v>
      </c>
      <c r="C52" s="5" t="s">
        <v>634</v>
      </c>
      <c r="D52" s="7" t="s">
        <v>27</v>
      </c>
      <c r="E52" s="6">
        <f t="shared" si="0"/>
        <v>16</v>
      </c>
    </row>
    <row r="53" spans="1:5" ht="22.5" customHeight="1" x14ac:dyDescent="0.2">
      <c r="A53" s="4">
        <v>10.11</v>
      </c>
      <c r="B53" s="5" t="s">
        <v>635</v>
      </c>
      <c r="C53" s="5" t="s">
        <v>636</v>
      </c>
      <c r="D53" s="7" t="s">
        <v>30</v>
      </c>
      <c r="E53" s="6">
        <f t="shared" si="0"/>
        <v>40</v>
      </c>
    </row>
    <row r="54" spans="1:5" ht="22.5" customHeight="1" x14ac:dyDescent="0.2">
      <c r="A54" s="4">
        <v>10.119999999999999</v>
      </c>
      <c r="B54" s="5" t="s">
        <v>624</v>
      </c>
      <c r="C54" s="5" t="s">
        <v>625</v>
      </c>
      <c r="D54" s="7" t="s">
        <v>30</v>
      </c>
      <c r="E54" s="6">
        <f t="shared" si="0"/>
        <v>40</v>
      </c>
    </row>
    <row r="55" spans="1:5" ht="22.5" customHeight="1" x14ac:dyDescent="0.2">
      <c r="A55" s="4">
        <v>10.130000000000001</v>
      </c>
      <c r="B55" s="5" t="s">
        <v>626</v>
      </c>
      <c r="C55" s="5" t="s">
        <v>627</v>
      </c>
      <c r="D55" s="7" t="s">
        <v>35</v>
      </c>
      <c r="E55" s="6">
        <f t="shared" si="0"/>
        <v>100</v>
      </c>
    </row>
    <row r="56" spans="1:5" ht="22.5" customHeight="1" x14ac:dyDescent="0.2">
      <c r="A56" s="4">
        <v>10.14</v>
      </c>
      <c r="B56" s="5" t="s">
        <v>628</v>
      </c>
      <c r="C56" s="5" t="s">
        <v>637</v>
      </c>
      <c r="D56" s="7" t="s">
        <v>30</v>
      </c>
      <c r="E56" s="6">
        <f t="shared" si="0"/>
        <v>40</v>
      </c>
    </row>
    <row r="57" spans="1:5" ht="22.5" customHeight="1" x14ac:dyDescent="0.2">
      <c r="A57" s="4">
        <v>10.15</v>
      </c>
      <c r="B57" s="5" t="s">
        <v>586</v>
      </c>
      <c r="C57" s="5" t="s">
        <v>630</v>
      </c>
      <c r="D57" s="7" t="s">
        <v>30</v>
      </c>
      <c r="E57" s="6">
        <f t="shared" si="0"/>
        <v>40</v>
      </c>
    </row>
    <row r="58" spans="1:5" ht="22.5" customHeight="1" x14ac:dyDescent="0.2">
      <c r="A58" s="4">
        <v>10.16</v>
      </c>
      <c r="B58" s="5" t="s">
        <v>638</v>
      </c>
      <c r="C58" s="5" t="s">
        <v>639</v>
      </c>
      <c r="D58" s="7" t="s">
        <v>30</v>
      </c>
      <c r="E58" s="6">
        <f t="shared" si="0"/>
        <v>40</v>
      </c>
    </row>
    <row r="59" spans="1:5" ht="22.5" customHeight="1" x14ac:dyDescent="0.2">
      <c r="A59" s="4">
        <v>10.17</v>
      </c>
      <c r="B59" s="5" t="s">
        <v>640</v>
      </c>
      <c r="C59" s="5" t="s">
        <v>641</v>
      </c>
      <c r="D59" s="7" t="s">
        <v>27</v>
      </c>
      <c r="E59" s="6">
        <f t="shared" si="0"/>
        <v>16</v>
      </c>
    </row>
    <row r="60" spans="1:5" ht="22.5" customHeight="1" x14ac:dyDescent="0.2">
      <c r="A60" s="4">
        <v>11.1</v>
      </c>
      <c r="B60" s="5" t="s">
        <v>543</v>
      </c>
      <c r="C60" s="5" t="s">
        <v>544</v>
      </c>
      <c r="D60" s="7" t="s">
        <v>30</v>
      </c>
      <c r="E60" s="6">
        <f t="shared" si="0"/>
        <v>40</v>
      </c>
    </row>
    <row r="61" spans="1:5" ht="22.5" customHeight="1" x14ac:dyDescent="0.2">
      <c r="A61" s="4">
        <v>11.2</v>
      </c>
      <c r="B61" s="5" t="s">
        <v>642</v>
      </c>
      <c r="C61" s="5" t="s">
        <v>643</v>
      </c>
      <c r="D61" s="7" t="s">
        <v>27</v>
      </c>
      <c r="E61" s="6">
        <f t="shared" si="0"/>
        <v>16</v>
      </c>
    </row>
    <row r="62" spans="1:5" ht="22.5" customHeight="1" x14ac:dyDescent="0.2">
      <c r="A62" s="4">
        <v>11.3</v>
      </c>
      <c r="B62" s="5" t="s">
        <v>644</v>
      </c>
      <c r="C62" s="5" t="s">
        <v>645</v>
      </c>
      <c r="D62" s="7" t="s">
        <v>30</v>
      </c>
      <c r="E62" s="6">
        <f t="shared" si="0"/>
        <v>40</v>
      </c>
    </row>
    <row r="63" spans="1:5" ht="22.5" customHeight="1" x14ac:dyDescent="0.2">
      <c r="A63" s="4">
        <v>11.4</v>
      </c>
      <c r="B63" s="5" t="s">
        <v>646</v>
      </c>
      <c r="C63" s="5" t="s">
        <v>647</v>
      </c>
      <c r="D63" s="7" t="s">
        <v>30</v>
      </c>
      <c r="E63" s="6">
        <f t="shared" si="0"/>
        <v>40</v>
      </c>
    </row>
    <row r="64" spans="1:5" ht="22.5" customHeight="1" x14ac:dyDescent="0.2">
      <c r="A64" s="4">
        <v>11.5</v>
      </c>
      <c r="B64" s="5" t="s">
        <v>547</v>
      </c>
      <c r="C64" s="5" t="s">
        <v>648</v>
      </c>
      <c r="D64" s="7" t="s">
        <v>30</v>
      </c>
      <c r="E64" s="6">
        <f t="shared" si="0"/>
        <v>40</v>
      </c>
    </row>
    <row r="65" spans="1:5" ht="22.5" customHeight="1" x14ac:dyDescent="0.2">
      <c r="A65" s="4">
        <v>11.6</v>
      </c>
      <c r="B65" s="5" t="s">
        <v>547</v>
      </c>
      <c r="C65" s="5" t="s">
        <v>548</v>
      </c>
      <c r="D65" s="7" t="s">
        <v>30</v>
      </c>
      <c r="E65" s="6">
        <f t="shared" si="0"/>
        <v>40</v>
      </c>
    </row>
    <row r="66" spans="1:5" ht="22.5" customHeight="1" x14ac:dyDescent="0.2">
      <c r="A66" s="4">
        <v>11.7</v>
      </c>
      <c r="B66" s="5" t="s">
        <v>649</v>
      </c>
      <c r="C66" s="5" t="s">
        <v>650</v>
      </c>
      <c r="D66" s="7" t="s">
        <v>30</v>
      </c>
      <c r="E66" s="6">
        <f t="shared" si="0"/>
        <v>40</v>
      </c>
    </row>
    <row r="67" spans="1:5" ht="22.5" customHeight="1" x14ac:dyDescent="0.2">
      <c r="A67" s="4">
        <v>11.8</v>
      </c>
      <c r="B67" s="5" t="s">
        <v>651</v>
      </c>
      <c r="C67" s="5" t="s">
        <v>652</v>
      </c>
      <c r="D67" s="7" t="s">
        <v>30</v>
      </c>
      <c r="E67" s="6">
        <f t="shared" si="0"/>
        <v>40</v>
      </c>
    </row>
    <row r="68" spans="1:5" ht="22.5" customHeight="1" x14ac:dyDescent="0.2">
      <c r="A68" s="4">
        <v>11.9</v>
      </c>
      <c r="B68" s="5" t="s">
        <v>653</v>
      </c>
      <c r="C68" s="5" t="s">
        <v>654</v>
      </c>
      <c r="D68" s="7" t="s">
        <v>30</v>
      </c>
      <c r="E68" s="6">
        <f t="shared" si="0"/>
        <v>40</v>
      </c>
    </row>
    <row r="69" spans="1:5" ht="22.5" customHeight="1" x14ac:dyDescent="0.2">
      <c r="A69" s="4">
        <v>11.1</v>
      </c>
      <c r="B69" s="5" t="s">
        <v>655</v>
      </c>
      <c r="C69" s="5" t="s">
        <v>656</v>
      </c>
      <c r="D69" s="7" t="s">
        <v>30</v>
      </c>
      <c r="E69" s="6">
        <f t="shared" si="0"/>
        <v>40</v>
      </c>
    </row>
    <row r="70" spans="1:5" ht="22.5" customHeight="1" x14ac:dyDescent="0.2">
      <c r="A70" s="4">
        <v>11.11</v>
      </c>
      <c r="B70" s="5" t="s">
        <v>657</v>
      </c>
      <c r="C70" s="5" t="s">
        <v>658</v>
      </c>
      <c r="D70" s="7" t="s">
        <v>30</v>
      </c>
      <c r="E70" s="6">
        <f t="shared" si="0"/>
        <v>40</v>
      </c>
    </row>
    <row r="71" spans="1:5" ht="22.5" customHeight="1" x14ac:dyDescent="0.2">
      <c r="A71" s="4">
        <v>11.12</v>
      </c>
      <c r="B71" s="5" t="s">
        <v>659</v>
      </c>
      <c r="C71" s="5" t="s">
        <v>660</v>
      </c>
      <c r="D71" s="7" t="s">
        <v>30</v>
      </c>
      <c r="E71" s="6">
        <f t="shared" si="0"/>
        <v>40</v>
      </c>
    </row>
    <row r="72" spans="1:5" ht="22.5" customHeight="1" x14ac:dyDescent="0.2">
      <c r="A72" s="4">
        <v>11.13</v>
      </c>
      <c r="B72" s="5" t="s">
        <v>661</v>
      </c>
      <c r="C72" s="5" t="s">
        <v>662</v>
      </c>
      <c r="D72" s="7" t="s">
        <v>30</v>
      </c>
      <c r="E72" s="6">
        <f t="shared" si="0"/>
        <v>40</v>
      </c>
    </row>
    <row r="73" spans="1:5" ht="22.5" customHeight="1" x14ac:dyDescent="0.2">
      <c r="A73" s="4">
        <v>11.14</v>
      </c>
      <c r="B73" s="5" t="s">
        <v>661</v>
      </c>
      <c r="C73" s="5" t="s">
        <v>663</v>
      </c>
      <c r="D73" s="7" t="s">
        <v>30</v>
      </c>
      <c r="E73" s="6">
        <f t="shared" si="0"/>
        <v>40</v>
      </c>
    </row>
    <row r="74" spans="1:5" ht="22.5" customHeight="1" x14ac:dyDescent="0.2">
      <c r="A74" s="4">
        <v>11.15</v>
      </c>
      <c r="B74" s="5" t="s">
        <v>664</v>
      </c>
      <c r="C74" s="5" t="s">
        <v>665</v>
      </c>
      <c r="D74" s="7" t="s">
        <v>27</v>
      </c>
      <c r="E74" s="6">
        <f t="shared" si="0"/>
        <v>16</v>
      </c>
    </row>
    <row r="75" spans="1:5" ht="22.5" customHeight="1" x14ac:dyDescent="0.2">
      <c r="A75" s="4">
        <v>11.16</v>
      </c>
      <c r="B75" s="5" t="s">
        <v>666</v>
      </c>
      <c r="C75" s="5" t="s">
        <v>667</v>
      </c>
      <c r="D75" s="7" t="s">
        <v>27</v>
      </c>
      <c r="E75" s="6">
        <f t="shared" si="0"/>
        <v>16</v>
      </c>
    </row>
    <row r="76" spans="1:5" ht="22.5" customHeight="1" x14ac:dyDescent="0.2">
      <c r="A76" s="4">
        <v>12.1</v>
      </c>
      <c r="B76" s="5" t="s">
        <v>668</v>
      </c>
      <c r="C76" s="5" t="s">
        <v>669</v>
      </c>
      <c r="D76" s="7" t="s">
        <v>35</v>
      </c>
      <c r="E76" s="6">
        <f t="shared" si="0"/>
        <v>100</v>
      </c>
    </row>
    <row r="77" spans="1:5" ht="22.5" customHeight="1" x14ac:dyDescent="0.2">
      <c r="A77" s="4">
        <v>12.2</v>
      </c>
      <c r="B77" s="5" t="s">
        <v>670</v>
      </c>
      <c r="C77" s="5" t="s">
        <v>671</v>
      </c>
      <c r="D77" s="7" t="s">
        <v>35</v>
      </c>
      <c r="E77" s="6">
        <f t="shared" si="0"/>
        <v>100</v>
      </c>
    </row>
    <row r="78" spans="1:5" ht="22.5" customHeight="1" x14ac:dyDescent="0.2">
      <c r="A78" s="4">
        <v>12.3</v>
      </c>
      <c r="B78" s="5" t="s">
        <v>672</v>
      </c>
      <c r="C78" s="5" t="s">
        <v>673</v>
      </c>
      <c r="D78" s="7" t="s">
        <v>35</v>
      </c>
      <c r="E78" s="6">
        <f t="shared" si="0"/>
        <v>100</v>
      </c>
    </row>
    <row r="79" spans="1:5" ht="22.5" customHeight="1" x14ac:dyDescent="0.2">
      <c r="A79" s="4">
        <v>12.4</v>
      </c>
      <c r="B79" s="5" t="s">
        <v>674</v>
      </c>
      <c r="C79" s="5" t="s">
        <v>675</v>
      </c>
      <c r="D79" s="7" t="s">
        <v>35</v>
      </c>
      <c r="E79" s="6">
        <f t="shared" si="0"/>
        <v>100</v>
      </c>
    </row>
    <row r="80" spans="1:5" ht="22.5" customHeight="1" x14ac:dyDescent="0.2">
      <c r="A80" s="4">
        <v>12.5</v>
      </c>
      <c r="B80" s="5" t="s">
        <v>676</v>
      </c>
      <c r="C80" s="5" t="s">
        <v>677</v>
      </c>
      <c r="D80" s="7" t="s">
        <v>35</v>
      </c>
      <c r="E80" s="6">
        <f t="shared" si="0"/>
        <v>100</v>
      </c>
    </row>
    <row r="81" spans="1:5" ht="22.5" customHeight="1" x14ac:dyDescent="0.2">
      <c r="A81" s="4">
        <v>12.6</v>
      </c>
      <c r="B81" s="5" t="s">
        <v>678</v>
      </c>
      <c r="C81" s="5" t="s">
        <v>679</v>
      </c>
      <c r="D81" s="7" t="s">
        <v>35</v>
      </c>
      <c r="E81" s="6">
        <f t="shared" si="0"/>
        <v>100</v>
      </c>
    </row>
    <row r="82" spans="1:5" ht="22.5" customHeight="1" x14ac:dyDescent="0.2">
      <c r="A82" s="4">
        <v>12.7</v>
      </c>
      <c r="B82" s="5" t="s">
        <v>680</v>
      </c>
      <c r="C82" s="5" t="s">
        <v>681</v>
      </c>
      <c r="D82" s="7" t="s">
        <v>35</v>
      </c>
      <c r="E82" s="6">
        <f t="shared" si="0"/>
        <v>100</v>
      </c>
    </row>
    <row r="83" spans="1:5" ht="22.5" customHeight="1" x14ac:dyDescent="0.2">
      <c r="A83" s="4">
        <v>12.8</v>
      </c>
      <c r="B83" s="5" t="s">
        <v>680</v>
      </c>
      <c r="C83" s="5" t="s">
        <v>682</v>
      </c>
      <c r="D83" s="7" t="s">
        <v>35</v>
      </c>
      <c r="E83" s="6">
        <f t="shared" si="0"/>
        <v>100</v>
      </c>
    </row>
    <row r="84" spans="1:5" ht="22.5" customHeight="1" x14ac:dyDescent="0.2">
      <c r="A84" s="4">
        <v>12.9</v>
      </c>
      <c r="B84" s="5" t="s">
        <v>683</v>
      </c>
      <c r="C84" s="5" t="s">
        <v>684</v>
      </c>
      <c r="D84" s="7" t="s">
        <v>35</v>
      </c>
      <c r="E84" s="6">
        <f t="shared" si="0"/>
        <v>100</v>
      </c>
    </row>
    <row r="85" spans="1:5" ht="22.5" customHeight="1" x14ac:dyDescent="0.2">
      <c r="A85" s="4">
        <v>13.1</v>
      </c>
      <c r="B85" s="5" t="s">
        <v>685</v>
      </c>
      <c r="C85" s="5" t="s">
        <v>686</v>
      </c>
      <c r="D85" s="7" t="s">
        <v>30</v>
      </c>
      <c r="E85" s="6">
        <f t="shared" si="0"/>
        <v>40</v>
      </c>
    </row>
    <row r="86" spans="1:5" ht="22.5" customHeight="1" x14ac:dyDescent="0.2">
      <c r="A86" s="4">
        <v>13.2</v>
      </c>
      <c r="B86" s="5" t="s">
        <v>687</v>
      </c>
      <c r="C86" s="5" t="s">
        <v>688</v>
      </c>
      <c r="D86" s="7" t="s">
        <v>30</v>
      </c>
      <c r="E86" s="6">
        <f t="shared" si="0"/>
        <v>40</v>
      </c>
    </row>
    <row r="87" spans="1:5" ht="22.5" customHeight="1" x14ac:dyDescent="0.2">
      <c r="A87" s="4">
        <v>13.3</v>
      </c>
      <c r="B87" s="5" t="s">
        <v>689</v>
      </c>
      <c r="C87" s="5" t="s">
        <v>690</v>
      </c>
      <c r="D87" s="7" t="s">
        <v>30</v>
      </c>
      <c r="E87" s="6">
        <f t="shared" si="0"/>
        <v>40</v>
      </c>
    </row>
    <row r="88" spans="1:5" ht="22.5" customHeight="1" x14ac:dyDescent="0.2">
      <c r="A88" s="4">
        <v>13.4</v>
      </c>
      <c r="B88" s="5" t="s">
        <v>691</v>
      </c>
      <c r="C88" s="5" t="s">
        <v>692</v>
      </c>
      <c r="D88" s="7" t="s">
        <v>30</v>
      </c>
      <c r="E88" s="6">
        <f t="shared" si="0"/>
        <v>40</v>
      </c>
    </row>
    <row r="89" spans="1:5" ht="22.5" customHeight="1" x14ac:dyDescent="0.2">
      <c r="A89" s="4">
        <v>13.5</v>
      </c>
      <c r="B89" s="5" t="s">
        <v>693</v>
      </c>
      <c r="C89" s="5" t="s">
        <v>694</v>
      </c>
      <c r="D89" s="7" t="s">
        <v>30</v>
      </c>
      <c r="E89" s="6">
        <f t="shared" si="0"/>
        <v>40</v>
      </c>
    </row>
    <row r="90" spans="1:5" ht="22.5" customHeight="1" x14ac:dyDescent="0.2">
      <c r="A90" s="4">
        <v>13.6</v>
      </c>
      <c r="B90" s="5" t="s">
        <v>695</v>
      </c>
      <c r="C90" s="5" t="s">
        <v>696</v>
      </c>
      <c r="D90" s="7" t="s">
        <v>30</v>
      </c>
      <c r="E90" s="6">
        <f t="shared" si="0"/>
        <v>40</v>
      </c>
    </row>
    <row r="91" spans="1:5" ht="22.5" customHeight="1" x14ac:dyDescent="0.2">
      <c r="A91" s="4">
        <v>13.7</v>
      </c>
      <c r="B91" s="5" t="s">
        <v>697</v>
      </c>
      <c r="C91" s="5" t="s">
        <v>698</v>
      </c>
      <c r="D91" s="7" t="s">
        <v>30</v>
      </c>
      <c r="E91" s="6">
        <f t="shared" si="0"/>
        <v>40</v>
      </c>
    </row>
    <row r="92" spans="1:5" ht="22.5" customHeight="1" x14ac:dyDescent="0.2">
      <c r="A92" s="4">
        <v>13.8</v>
      </c>
      <c r="B92" s="5" t="s">
        <v>699</v>
      </c>
      <c r="C92" s="5" t="s">
        <v>700</v>
      </c>
      <c r="D92" s="7" t="s">
        <v>35</v>
      </c>
      <c r="E92" s="6">
        <f t="shared" si="0"/>
        <v>100</v>
      </c>
    </row>
    <row r="93" spans="1:5" ht="22.5" customHeight="1" x14ac:dyDescent="0.2">
      <c r="A93" s="4">
        <v>13.9</v>
      </c>
      <c r="B93" s="5" t="s">
        <v>701</v>
      </c>
      <c r="C93" s="5" t="s">
        <v>702</v>
      </c>
      <c r="D93" s="7" t="s">
        <v>27</v>
      </c>
      <c r="E93" s="6">
        <f t="shared" si="0"/>
        <v>16</v>
      </c>
    </row>
    <row r="94" spans="1:5" ht="22.5" customHeight="1" x14ac:dyDescent="0.2">
      <c r="A94" s="4">
        <v>13.1</v>
      </c>
      <c r="B94" s="5" t="s">
        <v>703</v>
      </c>
      <c r="C94" s="5" t="s">
        <v>704</v>
      </c>
      <c r="D94" s="7" t="s">
        <v>30</v>
      </c>
      <c r="E94" s="6">
        <f t="shared" si="0"/>
        <v>40</v>
      </c>
    </row>
    <row r="95" spans="1:5" ht="22.5" customHeight="1" x14ac:dyDescent="0.2">
      <c r="A95" s="4">
        <v>13.11</v>
      </c>
      <c r="B95" s="5" t="s">
        <v>705</v>
      </c>
      <c r="C95" s="5" t="s">
        <v>706</v>
      </c>
      <c r="D95" s="7" t="s">
        <v>30</v>
      </c>
      <c r="E95" s="6">
        <f t="shared" si="0"/>
        <v>40</v>
      </c>
    </row>
    <row r="96" spans="1:5" ht="22.5" customHeight="1" x14ac:dyDescent="0.2">
      <c r="A96" s="4">
        <v>13.12</v>
      </c>
      <c r="B96" s="5" t="s">
        <v>707</v>
      </c>
      <c r="C96" s="5" t="s">
        <v>708</v>
      </c>
      <c r="D96" s="7" t="s">
        <v>30</v>
      </c>
      <c r="E96" s="6">
        <f t="shared" si="0"/>
        <v>40</v>
      </c>
    </row>
    <row r="97" spans="1:5" ht="22.5" customHeight="1" x14ac:dyDescent="0.2">
      <c r="A97" s="4">
        <v>13.13</v>
      </c>
      <c r="B97" s="5" t="s">
        <v>709</v>
      </c>
      <c r="C97" s="5" t="s">
        <v>710</v>
      </c>
      <c r="D97" s="7" t="s">
        <v>30</v>
      </c>
      <c r="E97" s="6">
        <f t="shared" si="0"/>
        <v>40</v>
      </c>
    </row>
    <row r="98" spans="1:5" ht="22.5" customHeight="1" x14ac:dyDescent="0.2">
      <c r="A98" s="4">
        <v>13.14</v>
      </c>
      <c r="B98" s="5" t="s">
        <v>711</v>
      </c>
      <c r="C98" s="5" t="s">
        <v>712</v>
      </c>
      <c r="D98" s="7" t="s">
        <v>35</v>
      </c>
      <c r="E98" s="6">
        <f t="shared" si="0"/>
        <v>100</v>
      </c>
    </row>
    <row r="99" spans="1:5" ht="22.5" customHeight="1" x14ac:dyDescent="0.2">
      <c r="A99" s="4">
        <v>13.15</v>
      </c>
      <c r="B99" s="5" t="s">
        <v>713</v>
      </c>
      <c r="C99" s="5" t="s">
        <v>714</v>
      </c>
      <c r="D99" s="7" t="s">
        <v>30</v>
      </c>
      <c r="E99" s="6">
        <f t="shared" si="0"/>
        <v>40</v>
      </c>
    </row>
    <row r="100" spans="1:5" ht="22.5" customHeight="1" x14ac:dyDescent="0.2">
      <c r="A100" s="4">
        <v>13.16</v>
      </c>
      <c r="B100" s="5" t="s">
        <v>715</v>
      </c>
      <c r="C100" s="5" t="s">
        <v>716</v>
      </c>
      <c r="D100" s="7" t="s">
        <v>30</v>
      </c>
      <c r="E100" s="6">
        <f t="shared" si="0"/>
        <v>40</v>
      </c>
    </row>
    <row r="101" spans="1:5" ht="22.5" customHeight="1" x14ac:dyDescent="0.2">
      <c r="A101" s="4">
        <v>13.17</v>
      </c>
      <c r="B101" s="5" t="s">
        <v>717</v>
      </c>
      <c r="C101" s="5" t="s">
        <v>718</v>
      </c>
      <c r="D101" s="7" t="s">
        <v>30</v>
      </c>
      <c r="E101" s="6">
        <f t="shared" si="0"/>
        <v>40</v>
      </c>
    </row>
    <row r="102" spans="1:5" ht="22.5" customHeight="1" x14ac:dyDescent="0.2">
      <c r="A102" s="4">
        <v>13.18</v>
      </c>
      <c r="B102" s="5" t="s">
        <v>719</v>
      </c>
      <c r="C102" s="5" t="s">
        <v>720</v>
      </c>
      <c r="D102" s="7" t="s">
        <v>30</v>
      </c>
      <c r="E102" s="6">
        <f t="shared" si="0"/>
        <v>40</v>
      </c>
    </row>
    <row r="103" spans="1:5" ht="22.5" customHeight="1" x14ac:dyDescent="0.2">
      <c r="A103" s="4">
        <v>13.19</v>
      </c>
      <c r="B103" s="5" t="s">
        <v>721</v>
      </c>
      <c r="C103" s="5" t="s">
        <v>722</v>
      </c>
      <c r="D103" s="7" t="s">
        <v>30</v>
      </c>
      <c r="E103" s="6">
        <f t="shared" si="0"/>
        <v>40</v>
      </c>
    </row>
    <row r="104" spans="1:5" ht="22.5" customHeight="1" x14ac:dyDescent="0.2">
      <c r="A104" s="4">
        <v>13.2</v>
      </c>
      <c r="B104" s="5" t="s">
        <v>695</v>
      </c>
      <c r="C104" s="5" t="s">
        <v>723</v>
      </c>
      <c r="D104" s="7" t="s">
        <v>30</v>
      </c>
      <c r="E104" s="6">
        <f t="shared" si="0"/>
        <v>40</v>
      </c>
    </row>
    <row r="105" spans="1:5" ht="22.5" customHeight="1" x14ac:dyDescent="0.2">
      <c r="A105" s="4">
        <v>13.21</v>
      </c>
      <c r="B105" s="5" t="s">
        <v>724</v>
      </c>
      <c r="C105" s="5" t="s">
        <v>725</v>
      </c>
      <c r="D105" s="7" t="s">
        <v>35</v>
      </c>
      <c r="E105" s="6">
        <f t="shared" si="0"/>
        <v>100</v>
      </c>
    </row>
    <row r="106" spans="1:5" ht="22.5" customHeight="1" x14ac:dyDescent="0.2">
      <c r="A106" s="4">
        <v>13.22</v>
      </c>
      <c r="B106" s="5" t="s">
        <v>701</v>
      </c>
      <c r="C106" s="5" t="s">
        <v>726</v>
      </c>
      <c r="D106" s="7" t="s">
        <v>30</v>
      </c>
      <c r="E106" s="6">
        <f t="shared" si="0"/>
        <v>40</v>
      </c>
    </row>
    <row r="107" spans="1:5" ht="22.5" customHeight="1" x14ac:dyDescent="0.2">
      <c r="A107" s="4">
        <v>13.23</v>
      </c>
      <c r="B107" s="5" t="s">
        <v>703</v>
      </c>
      <c r="C107" s="5" t="s">
        <v>727</v>
      </c>
      <c r="D107" s="7" t="s">
        <v>30</v>
      </c>
      <c r="E107" s="6">
        <f t="shared" si="0"/>
        <v>40</v>
      </c>
    </row>
    <row r="108" spans="1:5" ht="22.5" customHeight="1" x14ac:dyDescent="0.2">
      <c r="A108" s="4">
        <v>13.24</v>
      </c>
      <c r="B108" s="5" t="s">
        <v>705</v>
      </c>
      <c r="C108" s="5" t="s">
        <v>728</v>
      </c>
      <c r="D108" s="7" t="s">
        <v>30</v>
      </c>
      <c r="E108" s="6">
        <f t="shared" si="0"/>
        <v>40</v>
      </c>
    </row>
    <row r="109" spans="1:5" ht="22.5" customHeight="1" x14ac:dyDescent="0.2">
      <c r="A109" s="4">
        <v>13.25</v>
      </c>
      <c r="B109" s="5" t="s">
        <v>729</v>
      </c>
      <c r="C109" s="5" t="s">
        <v>730</v>
      </c>
      <c r="D109" s="7" t="s">
        <v>30</v>
      </c>
      <c r="E109" s="6">
        <f t="shared" si="0"/>
        <v>40</v>
      </c>
    </row>
    <row r="110" spans="1:5" ht="22.5" customHeight="1" x14ac:dyDescent="0.2">
      <c r="A110" s="4">
        <v>13.26</v>
      </c>
      <c r="B110" s="5" t="s">
        <v>731</v>
      </c>
      <c r="C110" s="5" t="s">
        <v>732</v>
      </c>
      <c r="D110" s="7" t="s">
        <v>30</v>
      </c>
      <c r="E110" s="6">
        <f t="shared" si="0"/>
        <v>40</v>
      </c>
    </row>
    <row r="111" spans="1:5" ht="22.5" customHeight="1" x14ac:dyDescent="0.2">
      <c r="A111" s="4">
        <v>13.27</v>
      </c>
      <c r="B111" s="5" t="s">
        <v>624</v>
      </c>
      <c r="C111" s="5" t="s">
        <v>733</v>
      </c>
      <c r="D111" s="7" t="s">
        <v>30</v>
      </c>
      <c r="E111" s="6">
        <f t="shared" si="0"/>
        <v>40</v>
      </c>
    </row>
    <row r="112" spans="1:5" ht="22.5" customHeight="1" x14ac:dyDescent="0.2">
      <c r="A112" s="4">
        <v>13.28</v>
      </c>
      <c r="B112" s="5" t="s">
        <v>626</v>
      </c>
      <c r="C112" s="5" t="s">
        <v>734</v>
      </c>
      <c r="D112" s="7" t="s">
        <v>35</v>
      </c>
      <c r="E112" s="6">
        <f t="shared" si="0"/>
        <v>100</v>
      </c>
    </row>
    <row r="113" spans="1:5" ht="22.5" customHeight="1" x14ac:dyDescent="0.2">
      <c r="A113" s="4">
        <v>13.29</v>
      </c>
      <c r="B113" s="5" t="s">
        <v>735</v>
      </c>
      <c r="C113" s="5" t="s">
        <v>736</v>
      </c>
      <c r="D113" s="7" t="s">
        <v>30</v>
      </c>
      <c r="E113" s="6">
        <f t="shared" si="0"/>
        <v>40</v>
      </c>
    </row>
    <row r="114" spans="1:5" ht="22.5" customHeight="1" x14ac:dyDescent="0.2">
      <c r="A114" s="4">
        <v>13.3</v>
      </c>
      <c r="B114" s="5" t="s">
        <v>737</v>
      </c>
      <c r="C114" s="5" t="s">
        <v>738</v>
      </c>
      <c r="D114" s="7" t="s">
        <v>35</v>
      </c>
      <c r="E114" s="6">
        <f t="shared" si="0"/>
        <v>100</v>
      </c>
    </row>
    <row r="115" spans="1:5" ht="22.5" customHeight="1" x14ac:dyDescent="0.2">
      <c r="A115" s="4">
        <v>13.31</v>
      </c>
      <c r="B115" s="5" t="s">
        <v>739</v>
      </c>
      <c r="C115" s="5" t="s">
        <v>740</v>
      </c>
      <c r="D115" s="7" t="s">
        <v>30</v>
      </c>
      <c r="E115" s="6">
        <f t="shared" si="0"/>
        <v>40</v>
      </c>
    </row>
    <row r="116" spans="1:5" ht="22.5" customHeight="1" x14ac:dyDescent="0.2">
      <c r="A116" s="4">
        <v>13.32</v>
      </c>
      <c r="B116" s="5" t="s">
        <v>741</v>
      </c>
      <c r="C116" s="5" t="s">
        <v>742</v>
      </c>
      <c r="D116" s="7" t="s">
        <v>30</v>
      </c>
      <c r="E116" s="6">
        <f t="shared" si="0"/>
        <v>40</v>
      </c>
    </row>
    <row r="117" spans="1:5" ht="22.5" customHeight="1" x14ac:dyDescent="0.2">
      <c r="A117" s="4">
        <v>13.33</v>
      </c>
      <c r="B117" s="5" t="s">
        <v>743</v>
      </c>
      <c r="C117" s="5" t="s">
        <v>744</v>
      </c>
      <c r="D117" s="7" t="s">
        <v>30</v>
      </c>
      <c r="E117" s="6">
        <f t="shared" si="0"/>
        <v>40</v>
      </c>
    </row>
    <row r="118" spans="1:5" ht="22.5" customHeight="1" x14ac:dyDescent="0.2">
      <c r="A118" s="4">
        <v>13.34</v>
      </c>
      <c r="B118" s="5" t="s">
        <v>745</v>
      </c>
      <c r="C118" s="5" t="s">
        <v>746</v>
      </c>
      <c r="D118" s="7" t="s">
        <v>27</v>
      </c>
      <c r="E118" s="6">
        <f t="shared" si="0"/>
        <v>16</v>
      </c>
    </row>
    <row r="119" spans="1:5" ht="22.5" customHeight="1" x14ac:dyDescent="0.2">
      <c r="A119" s="4">
        <v>13.35</v>
      </c>
      <c r="B119" s="5" t="s">
        <v>747</v>
      </c>
      <c r="C119" s="5" t="s">
        <v>748</v>
      </c>
      <c r="D119" s="7" t="s">
        <v>30</v>
      </c>
      <c r="E119" s="6">
        <f t="shared" si="0"/>
        <v>40</v>
      </c>
    </row>
    <row r="120" spans="1:5" ht="22.5" customHeight="1" x14ac:dyDescent="0.2">
      <c r="A120" s="4">
        <v>14.1</v>
      </c>
      <c r="B120" s="5" t="s">
        <v>749</v>
      </c>
      <c r="C120" s="5" t="s">
        <v>750</v>
      </c>
      <c r="D120" s="7" t="s">
        <v>30</v>
      </c>
      <c r="E120" s="6">
        <f t="shared" si="0"/>
        <v>40</v>
      </c>
    </row>
    <row r="121" spans="1:5" ht="22.5" customHeight="1" x14ac:dyDescent="0.2">
      <c r="A121" s="4">
        <v>14.2</v>
      </c>
      <c r="B121" s="5" t="s">
        <v>751</v>
      </c>
      <c r="C121" s="5" t="s">
        <v>752</v>
      </c>
      <c r="D121" s="7" t="s">
        <v>30</v>
      </c>
      <c r="E121" s="6">
        <f t="shared" si="0"/>
        <v>40</v>
      </c>
    </row>
    <row r="122" spans="1:5" ht="22.5" customHeight="1" x14ac:dyDescent="0.2">
      <c r="A122" s="4">
        <v>14.3</v>
      </c>
      <c r="B122" s="5" t="s">
        <v>624</v>
      </c>
      <c r="C122" s="5" t="s">
        <v>753</v>
      </c>
      <c r="D122" s="7" t="s">
        <v>30</v>
      </c>
      <c r="E122" s="6">
        <f t="shared" si="0"/>
        <v>40</v>
      </c>
    </row>
    <row r="123" spans="1:5" ht="22.5" customHeight="1" x14ac:dyDescent="0.2">
      <c r="A123" s="4">
        <v>14.4</v>
      </c>
      <c r="B123" s="5" t="s">
        <v>626</v>
      </c>
      <c r="C123" s="5" t="s">
        <v>754</v>
      </c>
      <c r="D123" s="7" t="s">
        <v>35</v>
      </c>
      <c r="E123" s="6">
        <f t="shared" si="0"/>
        <v>100</v>
      </c>
    </row>
    <row r="124" spans="1:5" ht="22.5" customHeight="1" x14ac:dyDescent="0.2">
      <c r="A124" s="4">
        <v>14.5</v>
      </c>
      <c r="B124" s="5" t="s">
        <v>755</v>
      </c>
      <c r="C124" s="5" t="s">
        <v>756</v>
      </c>
      <c r="D124" s="7" t="s">
        <v>30</v>
      </c>
      <c r="E124" s="6">
        <f t="shared" si="0"/>
        <v>40</v>
      </c>
    </row>
    <row r="125" spans="1:5" ht="22.5" customHeight="1" x14ac:dyDescent="0.2">
      <c r="A125" s="4">
        <v>14.6</v>
      </c>
      <c r="B125" s="5" t="s">
        <v>757</v>
      </c>
      <c r="C125" s="5" t="s">
        <v>758</v>
      </c>
      <c r="D125" s="7" t="s">
        <v>35</v>
      </c>
      <c r="E125" s="6">
        <f t="shared" si="0"/>
        <v>100</v>
      </c>
    </row>
    <row r="126" spans="1:5" ht="22.5" customHeight="1" x14ac:dyDescent="0.2">
      <c r="A126" s="4">
        <v>14.7</v>
      </c>
      <c r="B126" s="5" t="s">
        <v>759</v>
      </c>
      <c r="C126" s="5" t="s">
        <v>760</v>
      </c>
      <c r="D126" s="7" t="s">
        <v>30</v>
      </c>
      <c r="E126" s="6">
        <f t="shared" si="0"/>
        <v>40</v>
      </c>
    </row>
    <row r="127" spans="1:5" ht="22.5" customHeight="1" x14ac:dyDescent="0.2">
      <c r="A127" s="4">
        <v>14.8</v>
      </c>
      <c r="B127" s="5" t="s">
        <v>761</v>
      </c>
      <c r="C127" s="5" t="s">
        <v>762</v>
      </c>
      <c r="D127" s="7" t="s">
        <v>27</v>
      </c>
      <c r="E127" s="6">
        <f t="shared" si="0"/>
        <v>16</v>
      </c>
    </row>
    <row r="128" spans="1:5" ht="22.5" customHeight="1" x14ac:dyDescent="0.2">
      <c r="A128" s="4">
        <v>14.9</v>
      </c>
      <c r="B128" s="5" t="s">
        <v>763</v>
      </c>
      <c r="C128" s="5" t="s">
        <v>764</v>
      </c>
      <c r="D128" s="7" t="s">
        <v>30</v>
      </c>
      <c r="E128" s="6">
        <f t="shared" si="0"/>
        <v>40</v>
      </c>
    </row>
    <row r="129" spans="1:5" ht="22.5" customHeight="1" x14ac:dyDescent="0.2">
      <c r="A129" s="4">
        <v>14.1</v>
      </c>
      <c r="B129" s="5" t="s">
        <v>765</v>
      </c>
      <c r="C129" s="5" t="s">
        <v>766</v>
      </c>
      <c r="D129" s="7" t="s">
        <v>35</v>
      </c>
      <c r="E129" s="6">
        <f t="shared" si="0"/>
        <v>100</v>
      </c>
    </row>
    <row r="130" spans="1:5" ht="22.5" customHeight="1" x14ac:dyDescent="0.2">
      <c r="A130" s="4">
        <v>14.11</v>
      </c>
      <c r="B130" s="5" t="s">
        <v>551</v>
      </c>
      <c r="C130" s="5" t="s">
        <v>552</v>
      </c>
      <c r="D130" s="7" t="s">
        <v>30</v>
      </c>
      <c r="E130" s="6">
        <f t="shared" si="0"/>
        <v>40</v>
      </c>
    </row>
    <row r="131" spans="1:5" ht="22.5" customHeight="1" x14ac:dyDescent="0.2">
      <c r="A131" s="4">
        <v>14.12</v>
      </c>
      <c r="B131" s="5" t="s">
        <v>767</v>
      </c>
      <c r="C131" s="5" t="s">
        <v>768</v>
      </c>
      <c r="D131" s="7" t="s">
        <v>35</v>
      </c>
      <c r="E131" s="6">
        <f t="shared" si="0"/>
        <v>100</v>
      </c>
    </row>
    <row r="132" spans="1:5" ht="22.5" customHeight="1" x14ac:dyDescent="0.2">
      <c r="A132" s="4">
        <v>14.13</v>
      </c>
      <c r="B132" s="5" t="s">
        <v>769</v>
      </c>
      <c r="C132" s="5" t="s">
        <v>770</v>
      </c>
      <c r="D132" s="7" t="s">
        <v>30</v>
      </c>
      <c r="E132" s="6">
        <f t="shared" si="0"/>
        <v>40</v>
      </c>
    </row>
    <row r="133" spans="1:5" ht="22.5" customHeight="1" x14ac:dyDescent="0.2">
      <c r="A133" s="4">
        <v>14.14</v>
      </c>
      <c r="B133" s="5" t="s">
        <v>751</v>
      </c>
      <c r="C133" s="5" t="s">
        <v>771</v>
      </c>
      <c r="D133" s="7" t="s">
        <v>30</v>
      </c>
      <c r="E133" s="6">
        <f t="shared" si="0"/>
        <v>40</v>
      </c>
    </row>
    <row r="134" spans="1:5" ht="22.5" customHeight="1" x14ac:dyDescent="0.2">
      <c r="A134" s="4">
        <v>14.15</v>
      </c>
      <c r="B134" s="5" t="s">
        <v>624</v>
      </c>
      <c r="C134" s="5" t="s">
        <v>772</v>
      </c>
      <c r="D134" s="7" t="s">
        <v>30</v>
      </c>
      <c r="E134" s="6">
        <f t="shared" si="0"/>
        <v>40</v>
      </c>
    </row>
    <row r="135" spans="1:5" ht="22.5" customHeight="1" x14ac:dyDescent="0.2">
      <c r="A135" s="4">
        <v>14.16</v>
      </c>
      <c r="B135" s="5" t="s">
        <v>626</v>
      </c>
      <c r="C135" s="5" t="s">
        <v>773</v>
      </c>
      <c r="D135" s="7" t="s">
        <v>35</v>
      </c>
      <c r="E135" s="6">
        <f t="shared" si="0"/>
        <v>100</v>
      </c>
    </row>
    <row r="136" spans="1:5" ht="22.5" customHeight="1" x14ac:dyDescent="0.2">
      <c r="A136" s="4">
        <v>14.17</v>
      </c>
      <c r="B136" s="5" t="s">
        <v>755</v>
      </c>
      <c r="C136" s="5" t="s">
        <v>774</v>
      </c>
      <c r="D136" s="7" t="s">
        <v>30</v>
      </c>
      <c r="E136" s="6">
        <f t="shared" si="0"/>
        <v>40</v>
      </c>
    </row>
    <row r="137" spans="1:5" ht="22.5" customHeight="1" x14ac:dyDescent="0.2">
      <c r="A137" s="4">
        <v>14.18</v>
      </c>
      <c r="B137" s="5" t="s">
        <v>775</v>
      </c>
      <c r="C137" s="5" t="s">
        <v>776</v>
      </c>
      <c r="D137" s="7" t="s">
        <v>35</v>
      </c>
      <c r="E137" s="6">
        <f t="shared" si="0"/>
        <v>100</v>
      </c>
    </row>
    <row r="138" spans="1:5" ht="22.5" customHeight="1" x14ac:dyDescent="0.2">
      <c r="A138" s="4">
        <v>14.19</v>
      </c>
      <c r="B138" s="5" t="s">
        <v>759</v>
      </c>
      <c r="C138" s="5" t="s">
        <v>777</v>
      </c>
      <c r="D138" s="7" t="s">
        <v>30</v>
      </c>
      <c r="E138" s="6">
        <f t="shared" si="0"/>
        <v>40</v>
      </c>
    </row>
    <row r="139" spans="1:5" ht="22.5" customHeight="1" x14ac:dyDescent="0.2">
      <c r="A139" s="4">
        <v>14.2</v>
      </c>
      <c r="B139" s="5" t="s">
        <v>778</v>
      </c>
      <c r="C139" s="5" t="s">
        <v>779</v>
      </c>
      <c r="D139" s="7" t="s">
        <v>27</v>
      </c>
      <c r="E139" s="6">
        <f t="shared" si="0"/>
        <v>16</v>
      </c>
    </row>
    <row r="140" spans="1:5" ht="22.5" customHeight="1" x14ac:dyDescent="0.2">
      <c r="A140" s="4">
        <v>14.21</v>
      </c>
      <c r="B140" s="5" t="s">
        <v>780</v>
      </c>
      <c r="C140" s="5" t="s">
        <v>781</v>
      </c>
      <c r="D140" s="7" t="s">
        <v>30</v>
      </c>
      <c r="E140" s="6">
        <f t="shared" si="0"/>
        <v>40</v>
      </c>
    </row>
    <row r="141" spans="1:5" ht="22.5" customHeight="1" x14ac:dyDescent="0.2">
      <c r="A141" s="4">
        <v>14.22</v>
      </c>
      <c r="B141" s="5" t="s">
        <v>765</v>
      </c>
      <c r="C141" s="5" t="s">
        <v>782</v>
      </c>
      <c r="D141" s="7" t="s">
        <v>35</v>
      </c>
      <c r="E141" s="6">
        <f t="shared" si="0"/>
        <v>100</v>
      </c>
    </row>
    <row r="142" spans="1:5" ht="22.5" customHeight="1" x14ac:dyDescent="0.2">
      <c r="A142" s="4">
        <v>14.23</v>
      </c>
      <c r="B142" s="5" t="s">
        <v>551</v>
      </c>
      <c r="C142" s="5" t="s">
        <v>783</v>
      </c>
      <c r="D142" s="7" t="s">
        <v>30</v>
      </c>
      <c r="E142" s="6">
        <f t="shared" si="0"/>
        <v>40</v>
      </c>
    </row>
    <row r="143" spans="1:5" ht="22.5" customHeight="1" x14ac:dyDescent="0.2">
      <c r="A143" s="4">
        <v>14.24</v>
      </c>
      <c r="B143" s="5" t="s">
        <v>784</v>
      </c>
      <c r="C143" s="5" t="s">
        <v>785</v>
      </c>
      <c r="D143" s="7" t="s">
        <v>35</v>
      </c>
      <c r="E143" s="6">
        <f t="shared" si="0"/>
        <v>100</v>
      </c>
    </row>
    <row r="144" spans="1:5" ht="22.5" customHeight="1" x14ac:dyDescent="0.2">
      <c r="A144" s="4">
        <v>15.1</v>
      </c>
      <c r="B144" s="5" t="s">
        <v>786</v>
      </c>
      <c r="C144" s="5" t="s">
        <v>787</v>
      </c>
      <c r="D144" s="7" t="s">
        <v>30</v>
      </c>
      <c r="E144" s="6">
        <f t="shared" si="0"/>
        <v>40</v>
      </c>
    </row>
    <row r="145" spans="1:5" ht="22.5" customHeight="1" x14ac:dyDescent="0.2">
      <c r="A145" s="4">
        <v>15.2</v>
      </c>
      <c r="B145" s="5" t="s">
        <v>788</v>
      </c>
      <c r="C145" s="5" t="s">
        <v>789</v>
      </c>
      <c r="D145" s="7" t="s">
        <v>35</v>
      </c>
      <c r="E145" s="6">
        <f t="shared" si="0"/>
        <v>100</v>
      </c>
    </row>
    <row r="146" spans="1:5" ht="22.5" customHeight="1" x14ac:dyDescent="0.2">
      <c r="A146" s="4">
        <v>15.3</v>
      </c>
      <c r="B146" s="5" t="s">
        <v>790</v>
      </c>
      <c r="C146" s="5" t="s">
        <v>791</v>
      </c>
      <c r="D146" s="7" t="s">
        <v>30</v>
      </c>
      <c r="E146" s="6">
        <f t="shared" si="0"/>
        <v>40</v>
      </c>
    </row>
    <row r="147" spans="1:5" ht="22.5" customHeight="1" x14ac:dyDescent="0.2">
      <c r="A147" s="4">
        <v>15.4</v>
      </c>
      <c r="B147" s="5" t="s">
        <v>792</v>
      </c>
      <c r="C147" s="5" t="s">
        <v>793</v>
      </c>
      <c r="D147" s="7" t="s">
        <v>30</v>
      </c>
      <c r="E147" s="6">
        <f t="shared" si="0"/>
        <v>40</v>
      </c>
    </row>
    <row r="148" spans="1:5" ht="22.5" customHeight="1" x14ac:dyDescent="0.2">
      <c r="A148" s="4">
        <v>15.5</v>
      </c>
      <c r="B148" s="5" t="s">
        <v>555</v>
      </c>
      <c r="C148" s="5" t="s">
        <v>794</v>
      </c>
      <c r="D148" s="7" t="s">
        <v>30</v>
      </c>
      <c r="E148" s="6">
        <f t="shared" si="0"/>
        <v>40</v>
      </c>
    </row>
    <row r="149" spans="1:5" ht="22.5" customHeight="1" x14ac:dyDescent="0.2">
      <c r="A149" s="4">
        <v>15.6</v>
      </c>
      <c r="B149" s="5" t="s">
        <v>555</v>
      </c>
      <c r="C149" s="5" t="s">
        <v>556</v>
      </c>
      <c r="D149" s="7" t="s">
        <v>27</v>
      </c>
      <c r="E149" s="6">
        <f t="shared" si="0"/>
        <v>16</v>
      </c>
    </row>
    <row r="150" spans="1:5" ht="22.5" customHeight="1" x14ac:dyDescent="0.2">
      <c r="A150" s="4">
        <v>15.7</v>
      </c>
      <c r="B150" s="5" t="s">
        <v>795</v>
      </c>
      <c r="C150" s="5" t="s">
        <v>796</v>
      </c>
      <c r="D150" s="7" t="s">
        <v>35</v>
      </c>
      <c r="E150" s="6">
        <f t="shared" si="0"/>
        <v>100</v>
      </c>
    </row>
    <row r="151" spans="1:5" ht="22.5" customHeight="1" x14ac:dyDescent="0.2">
      <c r="A151" s="4">
        <v>15.8</v>
      </c>
      <c r="B151" s="5" t="s">
        <v>797</v>
      </c>
      <c r="C151" s="5" t="s">
        <v>798</v>
      </c>
      <c r="D151" s="7" t="s">
        <v>30</v>
      </c>
      <c r="E151" s="6">
        <f t="shared" si="0"/>
        <v>40</v>
      </c>
    </row>
    <row r="152" spans="1:5" ht="22.5" customHeight="1" x14ac:dyDescent="0.2">
      <c r="A152" s="4">
        <v>15.9</v>
      </c>
      <c r="B152" s="5" t="s">
        <v>685</v>
      </c>
      <c r="C152" s="5" t="s">
        <v>799</v>
      </c>
      <c r="D152" s="7" t="s">
        <v>30</v>
      </c>
      <c r="E152" s="6">
        <f t="shared" si="0"/>
        <v>40</v>
      </c>
    </row>
    <row r="153" spans="1:5" ht="22.5" customHeight="1" x14ac:dyDescent="0.2">
      <c r="A153" s="4">
        <v>15.1</v>
      </c>
      <c r="B153" s="5" t="s">
        <v>800</v>
      </c>
      <c r="C153" s="5" t="s">
        <v>801</v>
      </c>
      <c r="D153" s="7" t="s">
        <v>30</v>
      </c>
      <c r="E153" s="6">
        <f t="shared" si="0"/>
        <v>40</v>
      </c>
    </row>
    <row r="154" spans="1:5" ht="22.5" customHeight="1" x14ac:dyDescent="0.2">
      <c r="A154" s="4">
        <v>16.100000000000001</v>
      </c>
      <c r="B154" s="5" t="s">
        <v>802</v>
      </c>
      <c r="C154" s="5" t="s">
        <v>803</v>
      </c>
      <c r="D154" s="7" t="s">
        <v>35</v>
      </c>
      <c r="E154" s="6">
        <f t="shared" si="0"/>
        <v>100</v>
      </c>
    </row>
    <row r="155" spans="1:5" ht="22.5" customHeight="1" x14ac:dyDescent="0.2">
      <c r="A155" s="4">
        <v>16.2</v>
      </c>
      <c r="B155" s="5" t="s">
        <v>804</v>
      </c>
      <c r="C155" s="5" t="s">
        <v>805</v>
      </c>
      <c r="D155" s="7" t="s">
        <v>35</v>
      </c>
      <c r="E155" s="6">
        <f t="shared" si="0"/>
        <v>100</v>
      </c>
    </row>
    <row r="156" spans="1:5" ht="22.5" customHeight="1" x14ac:dyDescent="0.2">
      <c r="A156" s="4">
        <v>16.3</v>
      </c>
      <c r="B156" s="5" t="s">
        <v>806</v>
      </c>
      <c r="C156" s="5" t="s">
        <v>807</v>
      </c>
      <c r="D156" s="7" t="s">
        <v>30</v>
      </c>
      <c r="E156" s="6">
        <f t="shared" si="0"/>
        <v>40</v>
      </c>
    </row>
    <row r="157" spans="1:5" ht="22.5" customHeight="1" x14ac:dyDescent="0.2">
      <c r="A157" s="4">
        <v>16.399999999999999</v>
      </c>
      <c r="B157" s="5" t="s">
        <v>808</v>
      </c>
      <c r="C157" s="5" t="s">
        <v>809</v>
      </c>
      <c r="D157" s="7" t="s">
        <v>35</v>
      </c>
      <c r="E157" s="6">
        <f t="shared" si="0"/>
        <v>100</v>
      </c>
    </row>
    <row r="158" spans="1:5" ht="22.5" customHeight="1" x14ac:dyDescent="0.2">
      <c r="A158" s="4">
        <v>16.5</v>
      </c>
      <c r="B158" s="5" t="s">
        <v>810</v>
      </c>
      <c r="C158" s="5" t="s">
        <v>811</v>
      </c>
      <c r="D158" s="7" t="s">
        <v>30</v>
      </c>
      <c r="E158" s="6">
        <f t="shared" si="0"/>
        <v>40</v>
      </c>
    </row>
    <row r="159" spans="1:5" ht="22.5" customHeight="1" x14ac:dyDescent="0.2">
      <c r="A159" s="4">
        <v>16.600000000000001</v>
      </c>
      <c r="B159" s="5" t="s">
        <v>812</v>
      </c>
      <c r="C159" s="5" t="s">
        <v>813</v>
      </c>
      <c r="D159" s="7" t="s">
        <v>30</v>
      </c>
      <c r="E159" s="6">
        <f t="shared" si="0"/>
        <v>40</v>
      </c>
    </row>
    <row r="160" spans="1:5" ht="22.5" customHeight="1" x14ac:dyDescent="0.2">
      <c r="A160" s="4">
        <v>16.7</v>
      </c>
      <c r="B160" s="5" t="s">
        <v>814</v>
      </c>
      <c r="C160" s="5" t="s">
        <v>815</v>
      </c>
      <c r="D160" s="7" t="s">
        <v>35</v>
      </c>
      <c r="E160" s="6">
        <f t="shared" si="0"/>
        <v>100</v>
      </c>
    </row>
    <row r="161" spans="1:5" ht="22.5" customHeight="1" x14ac:dyDescent="0.2">
      <c r="A161" s="4">
        <v>16.8</v>
      </c>
      <c r="B161" s="5" t="s">
        <v>624</v>
      </c>
      <c r="C161" s="5" t="s">
        <v>816</v>
      </c>
      <c r="D161" s="7" t="s">
        <v>30</v>
      </c>
      <c r="E161" s="6">
        <f t="shared" si="0"/>
        <v>40</v>
      </c>
    </row>
    <row r="162" spans="1:5" ht="22.5" customHeight="1" x14ac:dyDescent="0.2">
      <c r="A162" s="4">
        <v>16.899999999999999</v>
      </c>
      <c r="B162" s="5" t="s">
        <v>817</v>
      </c>
      <c r="C162" s="5" t="s">
        <v>818</v>
      </c>
      <c r="D162" s="7" t="s">
        <v>30</v>
      </c>
      <c r="E162" s="6">
        <f t="shared" si="0"/>
        <v>40</v>
      </c>
    </row>
    <row r="163" spans="1:5" ht="22.5" customHeight="1" x14ac:dyDescent="0.2">
      <c r="A163" s="4">
        <v>16.100000000000001</v>
      </c>
      <c r="B163" s="5" t="s">
        <v>819</v>
      </c>
      <c r="C163" s="5" t="s">
        <v>820</v>
      </c>
      <c r="D163" s="7" t="s">
        <v>35</v>
      </c>
      <c r="E163" s="6">
        <f t="shared" si="0"/>
        <v>100</v>
      </c>
    </row>
    <row r="164" spans="1:5" ht="22.5" customHeight="1" x14ac:dyDescent="0.2">
      <c r="A164" s="4">
        <v>16.11</v>
      </c>
      <c r="B164" s="5" t="s">
        <v>821</v>
      </c>
      <c r="C164" s="5" t="s">
        <v>822</v>
      </c>
      <c r="D164" s="7" t="s">
        <v>30</v>
      </c>
      <c r="E164" s="6">
        <f t="shared" si="0"/>
        <v>40</v>
      </c>
    </row>
    <row r="165" spans="1:5" ht="22.5" customHeight="1" x14ac:dyDescent="0.2">
      <c r="A165" s="4">
        <v>16.12</v>
      </c>
      <c r="B165" s="5" t="s">
        <v>823</v>
      </c>
      <c r="C165" s="5" t="s">
        <v>824</v>
      </c>
      <c r="D165" s="7" t="s">
        <v>35</v>
      </c>
      <c r="E165" s="6">
        <f t="shared" si="0"/>
        <v>100</v>
      </c>
    </row>
    <row r="166" spans="1:5" ht="22.5" customHeight="1" x14ac:dyDescent="0.2">
      <c r="A166" s="4">
        <v>16.13</v>
      </c>
      <c r="B166" s="5" t="s">
        <v>825</v>
      </c>
      <c r="C166" s="5" t="s">
        <v>826</v>
      </c>
      <c r="D166" s="7" t="s">
        <v>30</v>
      </c>
      <c r="E166" s="6">
        <f t="shared" si="0"/>
        <v>40</v>
      </c>
    </row>
    <row r="167" spans="1:5" ht="22.5" customHeight="1" x14ac:dyDescent="0.2">
      <c r="A167" s="4">
        <v>16.14</v>
      </c>
      <c r="B167" s="5" t="s">
        <v>827</v>
      </c>
      <c r="C167" s="5" t="s">
        <v>828</v>
      </c>
      <c r="D167" s="7" t="s">
        <v>30</v>
      </c>
      <c r="E167" s="6">
        <f t="shared" si="0"/>
        <v>40</v>
      </c>
    </row>
    <row r="168" spans="1:5" ht="22.5" customHeight="1" x14ac:dyDescent="0.2">
      <c r="A168" s="4">
        <v>16.149999999999999</v>
      </c>
      <c r="B168" s="5" t="s">
        <v>806</v>
      </c>
      <c r="C168" s="5" t="s">
        <v>829</v>
      </c>
      <c r="D168" s="7" t="s">
        <v>27</v>
      </c>
      <c r="E168" s="6">
        <f t="shared" si="0"/>
        <v>16</v>
      </c>
    </row>
    <row r="169" spans="1:5" ht="22.5" customHeight="1" x14ac:dyDescent="0.2">
      <c r="A169" s="4">
        <v>16.16</v>
      </c>
      <c r="B169" s="5" t="s">
        <v>830</v>
      </c>
      <c r="C169" s="5" t="s">
        <v>831</v>
      </c>
      <c r="D169" s="7" t="s">
        <v>30</v>
      </c>
      <c r="E169" s="6">
        <f t="shared" si="0"/>
        <v>40</v>
      </c>
    </row>
    <row r="170" spans="1:5" ht="22.5" customHeight="1" x14ac:dyDescent="0.2">
      <c r="A170" s="4">
        <v>16.170000000000002</v>
      </c>
      <c r="B170" s="5" t="s">
        <v>832</v>
      </c>
      <c r="C170" s="5" t="s">
        <v>833</v>
      </c>
      <c r="D170" s="7" t="s">
        <v>30</v>
      </c>
      <c r="E170" s="6">
        <f t="shared" si="0"/>
        <v>40</v>
      </c>
    </row>
    <row r="171" spans="1:5" ht="22.5" customHeight="1" x14ac:dyDescent="0.2">
      <c r="A171" s="4">
        <v>16.18</v>
      </c>
      <c r="B171" s="5" t="s">
        <v>834</v>
      </c>
      <c r="C171" s="5" t="s">
        <v>835</v>
      </c>
      <c r="D171" s="7" t="s">
        <v>30</v>
      </c>
      <c r="E171" s="6">
        <f t="shared" si="0"/>
        <v>40</v>
      </c>
    </row>
    <row r="172" spans="1:5" ht="22.5" customHeight="1" x14ac:dyDescent="0.2">
      <c r="A172" s="4">
        <v>16.190000000000001</v>
      </c>
      <c r="B172" s="5" t="s">
        <v>836</v>
      </c>
      <c r="C172" s="5" t="s">
        <v>837</v>
      </c>
      <c r="D172" s="7" t="s">
        <v>30</v>
      </c>
      <c r="E172" s="6">
        <f t="shared" si="0"/>
        <v>40</v>
      </c>
    </row>
    <row r="173" spans="1:5" ht="22.5" customHeight="1" x14ac:dyDescent="0.2">
      <c r="A173" s="4">
        <v>16.2</v>
      </c>
      <c r="B173" s="5" t="s">
        <v>838</v>
      </c>
      <c r="C173" s="5" t="s">
        <v>839</v>
      </c>
      <c r="D173" s="7" t="s">
        <v>30</v>
      </c>
      <c r="E173" s="6">
        <f t="shared" si="0"/>
        <v>40</v>
      </c>
    </row>
    <row r="174" spans="1:5" ht="22.5" customHeight="1" x14ac:dyDescent="0.2">
      <c r="A174" s="4">
        <v>16.21</v>
      </c>
      <c r="B174" s="5" t="s">
        <v>838</v>
      </c>
      <c r="C174" s="5" t="s">
        <v>840</v>
      </c>
      <c r="D174" s="7" t="s">
        <v>30</v>
      </c>
      <c r="E174" s="6">
        <f t="shared" si="0"/>
        <v>40</v>
      </c>
    </row>
    <row r="175" spans="1:5" ht="22.5" customHeight="1" x14ac:dyDescent="0.2">
      <c r="A175" s="4">
        <v>16.22</v>
      </c>
      <c r="B175" s="5" t="s">
        <v>841</v>
      </c>
      <c r="C175" s="5" t="s">
        <v>842</v>
      </c>
      <c r="D175" s="7" t="s">
        <v>30</v>
      </c>
      <c r="E175" s="6">
        <f t="shared" si="0"/>
        <v>40</v>
      </c>
    </row>
    <row r="176" spans="1:5" ht="22.5" customHeight="1" x14ac:dyDescent="0.2">
      <c r="A176" s="4">
        <v>16.23</v>
      </c>
      <c r="B176" s="5" t="s">
        <v>259</v>
      </c>
      <c r="C176" s="5" t="s">
        <v>843</v>
      </c>
      <c r="D176" s="7" t="s">
        <v>30</v>
      </c>
      <c r="E176" s="6">
        <f t="shared" si="0"/>
        <v>40</v>
      </c>
    </row>
    <row r="177" spans="1:5" ht="22.5" customHeight="1" x14ac:dyDescent="0.2">
      <c r="A177" s="4">
        <v>16.239999999999998</v>
      </c>
      <c r="B177" s="5" t="s">
        <v>844</v>
      </c>
      <c r="C177" s="5" t="s">
        <v>845</v>
      </c>
      <c r="D177" s="7" t="s">
        <v>27</v>
      </c>
      <c r="E177" s="6">
        <f t="shared" si="0"/>
        <v>16</v>
      </c>
    </row>
    <row r="178" spans="1:5" ht="22.5" customHeight="1" x14ac:dyDescent="0.2">
      <c r="A178" s="4">
        <v>16.25</v>
      </c>
      <c r="B178" s="5" t="s">
        <v>846</v>
      </c>
      <c r="C178" s="5" t="s">
        <v>847</v>
      </c>
      <c r="D178" s="7" t="s">
        <v>30</v>
      </c>
      <c r="E178" s="6">
        <f t="shared" si="0"/>
        <v>40</v>
      </c>
    </row>
    <row r="179" spans="1:5" ht="22.5" customHeight="1" x14ac:dyDescent="0.2">
      <c r="A179" s="4">
        <v>16.260000000000002</v>
      </c>
      <c r="B179" s="5" t="s">
        <v>848</v>
      </c>
      <c r="C179" s="5" t="s">
        <v>849</v>
      </c>
      <c r="D179" s="7" t="s">
        <v>30</v>
      </c>
      <c r="E179" s="6">
        <f t="shared" si="0"/>
        <v>40</v>
      </c>
    </row>
    <row r="180" spans="1:5" ht="22.5" customHeight="1" x14ac:dyDescent="0.2">
      <c r="A180" s="4">
        <v>16.27</v>
      </c>
      <c r="B180" s="5" t="s">
        <v>850</v>
      </c>
      <c r="C180" s="5" t="s">
        <v>851</v>
      </c>
      <c r="D180" s="7" t="s">
        <v>30</v>
      </c>
      <c r="E180" s="6">
        <f t="shared" si="0"/>
        <v>40</v>
      </c>
    </row>
    <row r="181" spans="1:5" ht="22.5" customHeight="1" x14ac:dyDescent="0.2">
      <c r="A181" s="4">
        <v>16.28</v>
      </c>
      <c r="B181" s="5" t="s">
        <v>852</v>
      </c>
      <c r="C181" s="5" t="s">
        <v>853</v>
      </c>
      <c r="D181" s="7" t="s">
        <v>30</v>
      </c>
      <c r="E181" s="6">
        <f t="shared" si="0"/>
        <v>40</v>
      </c>
    </row>
    <row r="182" spans="1:5" ht="22.5" customHeight="1" x14ac:dyDescent="0.2">
      <c r="A182" s="4">
        <v>16.29</v>
      </c>
      <c r="B182" s="5" t="s">
        <v>854</v>
      </c>
      <c r="C182" s="5" t="s">
        <v>855</v>
      </c>
      <c r="D182" s="7" t="s">
        <v>30</v>
      </c>
      <c r="E182" s="6">
        <f t="shared" si="0"/>
        <v>40</v>
      </c>
    </row>
    <row r="183" spans="1:5" ht="22.5" customHeight="1" x14ac:dyDescent="0.2">
      <c r="A183" s="4">
        <v>16.3</v>
      </c>
      <c r="B183" s="5" t="s">
        <v>856</v>
      </c>
      <c r="C183" s="5" t="s">
        <v>857</v>
      </c>
      <c r="D183" s="7" t="s">
        <v>30</v>
      </c>
      <c r="E183" s="6">
        <f t="shared" si="0"/>
        <v>40</v>
      </c>
    </row>
    <row r="184" spans="1:5" ht="22.5" customHeight="1" x14ac:dyDescent="0.2">
      <c r="A184" s="4">
        <v>16.309999999999999</v>
      </c>
      <c r="B184" s="5" t="s">
        <v>858</v>
      </c>
      <c r="C184" s="5" t="s">
        <v>859</v>
      </c>
      <c r="D184" s="7" t="s">
        <v>30</v>
      </c>
      <c r="E184" s="6">
        <f t="shared" si="0"/>
        <v>40</v>
      </c>
    </row>
    <row r="185" spans="1:5" ht="22.5" customHeight="1" x14ac:dyDescent="0.2">
      <c r="A185" s="4">
        <v>16.32</v>
      </c>
      <c r="B185" s="5" t="s">
        <v>860</v>
      </c>
      <c r="C185" s="5" t="s">
        <v>861</v>
      </c>
      <c r="D185" s="7" t="s">
        <v>30</v>
      </c>
      <c r="E185" s="6">
        <f t="shared" si="0"/>
        <v>40</v>
      </c>
    </row>
    <row r="186" spans="1:5" ht="22.5" customHeight="1" x14ac:dyDescent="0.2">
      <c r="A186" s="4">
        <v>16.329999999999998</v>
      </c>
      <c r="B186" s="5" t="s">
        <v>862</v>
      </c>
      <c r="C186" s="5" t="s">
        <v>863</v>
      </c>
      <c r="D186" s="7" t="s">
        <v>30</v>
      </c>
      <c r="E186" s="6">
        <f t="shared" si="0"/>
        <v>40</v>
      </c>
    </row>
    <row r="187" spans="1:5" ht="22.5" customHeight="1" x14ac:dyDescent="0.2">
      <c r="A187" s="4">
        <v>16.34</v>
      </c>
      <c r="B187" s="5" t="s">
        <v>559</v>
      </c>
      <c r="C187" s="5" t="s">
        <v>560</v>
      </c>
      <c r="D187" s="7" t="s">
        <v>30</v>
      </c>
      <c r="E187" s="6">
        <f t="shared" si="0"/>
        <v>40</v>
      </c>
    </row>
    <row r="188" spans="1:5" ht="22.5" customHeight="1" x14ac:dyDescent="0.2">
      <c r="A188" s="4">
        <v>16.350000000000001</v>
      </c>
      <c r="B188" s="5" t="s">
        <v>864</v>
      </c>
      <c r="C188" s="5" t="s">
        <v>865</v>
      </c>
      <c r="D188" s="7" t="s">
        <v>30</v>
      </c>
      <c r="E188" s="6">
        <f t="shared" si="0"/>
        <v>40</v>
      </c>
    </row>
    <row r="189" spans="1:5" ht="22.5" customHeight="1" x14ac:dyDescent="0.2">
      <c r="A189" s="4">
        <v>17.100000000000001</v>
      </c>
      <c r="B189" s="5" t="s">
        <v>866</v>
      </c>
      <c r="C189" s="5" t="s">
        <v>867</v>
      </c>
      <c r="D189" s="7" t="s">
        <v>35</v>
      </c>
      <c r="E189" s="6">
        <f t="shared" si="0"/>
        <v>100</v>
      </c>
    </row>
    <row r="190" spans="1:5" ht="22.5" customHeight="1" x14ac:dyDescent="0.2">
      <c r="A190" s="4">
        <v>17.2</v>
      </c>
      <c r="B190" s="5" t="s">
        <v>868</v>
      </c>
      <c r="C190" s="5" t="s">
        <v>869</v>
      </c>
      <c r="D190" s="7" t="s">
        <v>35</v>
      </c>
      <c r="E190" s="6">
        <f t="shared" si="0"/>
        <v>100</v>
      </c>
    </row>
    <row r="191" spans="1:5" ht="22.5" customHeight="1" x14ac:dyDescent="0.2">
      <c r="A191" s="4">
        <v>17.3</v>
      </c>
      <c r="B191" s="5" t="s">
        <v>870</v>
      </c>
      <c r="C191" s="5" t="s">
        <v>871</v>
      </c>
      <c r="D191" s="7" t="s">
        <v>35</v>
      </c>
      <c r="E191" s="6">
        <f t="shared" si="0"/>
        <v>100</v>
      </c>
    </row>
    <row r="192" spans="1:5" ht="22.5" customHeight="1" x14ac:dyDescent="0.2">
      <c r="A192" s="4">
        <v>17.399999999999999</v>
      </c>
      <c r="B192" s="5" t="s">
        <v>872</v>
      </c>
      <c r="C192" s="5" t="s">
        <v>873</v>
      </c>
      <c r="D192" s="7" t="s">
        <v>35</v>
      </c>
      <c r="E192" s="6">
        <f t="shared" si="0"/>
        <v>100</v>
      </c>
    </row>
    <row r="193" spans="1:5" ht="22.5" customHeight="1" x14ac:dyDescent="0.2">
      <c r="A193" s="4">
        <v>17.5</v>
      </c>
      <c r="B193" s="5" t="s">
        <v>874</v>
      </c>
      <c r="C193" s="5" t="s">
        <v>875</v>
      </c>
      <c r="D193" s="7" t="s">
        <v>30</v>
      </c>
      <c r="E193" s="6">
        <f t="shared" si="0"/>
        <v>40</v>
      </c>
    </row>
    <row r="194" spans="1:5" ht="22.5" customHeight="1" x14ac:dyDescent="0.2">
      <c r="A194" s="4">
        <v>17.600000000000001</v>
      </c>
      <c r="B194" s="5" t="s">
        <v>876</v>
      </c>
      <c r="C194" s="5" t="s">
        <v>877</v>
      </c>
      <c r="D194" s="7" t="s">
        <v>30</v>
      </c>
      <c r="E194" s="6">
        <f t="shared" si="0"/>
        <v>40</v>
      </c>
    </row>
    <row r="195" spans="1:5" ht="22.5" customHeight="1" x14ac:dyDescent="0.2">
      <c r="A195" s="4">
        <v>17.7</v>
      </c>
      <c r="B195" s="5" t="s">
        <v>878</v>
      </c>
      <c r="C195" s="5" t="s">
        <v>879</v>
      </c>
      <c r="D195" s="7" t="s">
        <v>27</v>
      </c>
      <c r="E195" s="6">
        <f t="shared" si="0"/>
        <v>16</v>
      </c>
    </row>
    <row r="196" spans="1:5" ht="22.5" customHeight="1" x14ac:dyDescent="0.2">
      <c r="A196" s="4">
        <v>17.8</v>
      </c>
      <c r="B196" s="5" t="s">
        <v>880</v>
      </c>
      <c r="C196" s="5" t="s">
        <v>881</v>
      </c>
      <c r="D196" s="7" t="s">
        <v>30</v>
      </c>
      <c r="E196" s="6">
        <f t="shared" si="0"/>
        <v>40</v>
      </c>
    </row>
    <row r="197" spans="1:5" ht="22.5" customHeight="1" x14ac:dyDescent="0.2">
      <c r="A197" s="4">
        <v>17.899999999999999</v>
      </c>
      <c r="B197" s="5" t="s">
        <v>882</v>
      </c>
      <c r="C197" s="5" t="s">
        <v>883</v>
      </c>
      <c r="D197" s="7" t="s">
        <v>30</v>
      </c>
      <c r="E197" s="6">
        <f t="shared" si="0"/>
        <v>40</v>
      </c>
    </row>
    <row r="198" spans="1:5" ht="22.5" customHeight="1" x14ac:dyDescent="0.2">
      <c r="A198" s="4">
        <v>17.100000000000001</v>
      </c>
      <c r="B198" s="5" t="s">
        <v>666</v>
      </c>
      <c r="C198" s="5" t="s">
        <v>884</v>
      </c>
      <c r="D198" s="7" t="s">
        <v>27</v>
      </c>
      <c r="E198" s="6">
        <f t="shared" si="0"/>
        <v>16</v>
      </c>
    </row>
    <row r="199" spans="1:5" ht="22.5" customHeight="1" x14ac:dyDescent="0.2">
      <c r="A199" s="4">
        <v>17.11</v>
      </c>
      <c r="B199" s="5" t="s">
        <v>885</v>
      </c>
      <c r="C199" s="5" t="s">
        <v>886</v>
      </c>
      <c r="D199" s="7" t="s">
        <v>30</v>
      </c>
      <c r="E199" s="6">
        <f t="shared" si="0"/>
        <v>40</v>
      </c>
    </row>
    <row r="200" spans="1:5" ht="22.5" customHeight="1" x14ac:dyDescent="0.2">
      <c r="A200" s="4">
        <v>17.12</v>
      </c>
      <c r="B200" s="5" t="s">
        <v>887</v>
      </c>
      <c r="C200" s="5" t="s">
        <v>888</v>
      </c>
      <c r="D200" s="7" t="s">
        <v>30</v>
      </c>
      <c r="E200" s="6">
        <f t="shared" si="0"/>
        <v>40</v>
      </c>
    </row>
    <row r="201" spans="1:5" ht="22.5" customHeight="1" x14ac:dyDescent="0.2">
      <c r="A201" s="4">
        <v>17.13</v>
      </c>
      <c r="B201" s="5" t="s">
        <v>889</v>
      </c>
      <c r="C201" s="5" t="s">
        <v>890</v>
      </c>
      <c r="D201" s="7" t="s">
        <v>30</v>
      </c>
      <c r="E201" s="6">
        <f t="shared" si="0"/>
        <v>40</v>
      </c>
    </row>
    <row r="202" spans="1:5" ht="22.5" customHeight="1" x14ac:dyDescent="0.2">
      <c r="A202" s="4">
        <v>17.14</v>
      </c>
      <c r="B202" s="5" t="s">
        <v>891</v>
      </c>
      <c r="C202" s="5" t="s">
        <v>892</v>
      </c>
      <c r="D202" s="7" t="s">
        <v>30</v>
      </c>
      <c r="E202" s="6">
        <f t="shared" si="0"/>
        <v>40</v>
      </c>
    </row>
    <row r="203" spans="1:5" ht="22.5" customHeight="1" x14ac:dyDescent="0.2">
      <c r="A203" s="4">
        <v>17.149999999999999</v>
      </c>
      <c r="B203" s="5" t="s">
        <v>893</v>
      </c>
      <c r="C203" s="5" t="s">
        <v>894</v>
      </c>
      <c r="D203" s="7" t="s">
        <v>30</v>
      </c>
      <c r="E203" s="6">
        <f t="shared" si="0"/>
        <v>40</v>
      </c>
    </row>
    <row r="204" spans="1:5" ht="22.5" customHeight="1" x14ac:dyDescent="0.2">
      <c r="A204" s="4">
        <v>17.16</v>
      </c>
      <c r="B204" s="5" t="s">
        <v>850</v>
      </c>
      <c r="C204" s="5" t="s">
        <v>895</v>
      </c>
      <c r="D204" s="7" t="s">
        <v>30</v>
      </c>
      <c r="E204" s="6">
        <f t="shared" si="0"/>
        <v>40</v>
      </c>
    </row>
    <row r="205" spans="1:5" ht="22.5" customHeight="1" x14ac:dyDescent="0.2">
      <c r="A205" s="4">
        <v>17.170000000000002</v>
      </c>
      <c r="B205" s="5" t="s">
        <v>896</v>
      </c>
      <c r="C205" s="5" t="s">
        <v>897</v>
      </c>
      <c r="D205" s="7" t="s">
        <v>35</v>
      </c>
      <c r="E205" s="6">
        <f t="shared" si="0"/>
        <v>100</v>
      </c>
    </row>
    <row r="206" spans="1:5" ht="22.5" customHeight="1" x14ac:dyDescent="0.2">
      <c r="A206" s="4">
        <v>17.18</v>
      </c>
      <c r="B206" s="5" t="s">
        <v>898</v>
      </c>
      <c r="C206" s="5" t="s">
        <v>899</v>
      </c>
      <c r="D206" s="7" t="s">
        <v>30</v>
      </c>
      <c r="E206" s="6">
        <f t="shared" si="0"/>
        <v>40</v>
      </c>
    </row>
    <row r="207" spans="1:5" ht="22.5" customHeight="1" x14ac:dyDescent="0.2">
      <c r="A207" s="4">
        <v>17.190000000000001</v>
      </c>
      <c r="B207" s="5" t="s">
        <v>900</v>
      </c>
      <c r="C207" s="5" t="s">
        <v>901</v>
      </c>
      <c r="D207" s="7" t="s">
        <v>30</v>
      </c>
      <c r="E207" s="6">
        <f t="shared" si="0"/>
        <v>40</v>
      </c>
    </row>
    <row r="208" spans="1:5" ht="22.5" customHeight="1" x14ac:dyDescent="0.2">
      <c r="A208" s="4">
        <v>17.2</v>
      </c>
      <c r="B208" s="5" t="s">
        <v>498</v>
      </c>
      <c r="C208" s="5" t="s">
        <v>902</v>
      </c>
      <c r="D208" s="7" t="s">
        <v>30</v>
      </c>
      <c r="E208" s="6">
        <f t="shared" si="0"/>
        <v>40</v>
      </c>
    </row>
    <row r="209" spans="1:5" ht="22.5" customHeight="1" x14ac:dyDescent="0.2">
      <c r="A209" s="4">
        <v>17.21</v>
      </c>
      <c r="B209" s="5" t="s">
        <v>903</v>
      </c>
      <c r="C209" s="5" t="s">
        <v>904</v>
      </c>
      <c r="D209" s="7" t="s">
        <v>30</v>
      </c>
      <c r="E209" s="6">
        <f t="shared" si="0"/>
        <v>40</v>
      </c>
    </row>
    <row r="210" spans="1:5" ht="22.5" customHeight="1" x14ac:dyDescent="0.2">
      <c r="A210" s="4">
        <v>17.22</v>
      </c>
      <c r="B210" s="5" t="s">
        <v>905</v>
      </c>
      <c r="C210" s="5" t="s">
        <v>906</v>
      </c>
      <c r="D210" s="7" t="s">
        <v>30</v>
      </c>
      <c r="E210" s="6">
        <f t="shared" si="0"/>
        <v>40</v>
      </c>
    </row>
    <row r="211" spans="1:5" ht="22.5" customHeight="1" x14ac:dyDescent="0.2">
      <c r="A211" s="4">
        <v>17.23</v>
      </c>
      <c r="B211" s="5" t="s">
        <v>907</v>
      </c>
      <c r="C211" s="5" t="s">
        <v>908</v>
      </c>
      <c r="D211" s="7" t="s">
        <v>30</v>
      </c>
      <c r="E211" s="6">
        <f t="shared" si="0"/>
        <v>40</v>
      </c>
    </row>
    <row r="212" spans="1:5" ht="22.5" customHeight="1" x14ac:dyDescent="0.2">
      <c r="A212" s="4">
        <v>17.239999999999998</v>
      </c>
      <c r="B212" s="5" t="s">
        <v>909</v>
      </c>
      <c r="C212" s="5" t="s">
        <v>910</v>
      </c>
      <c r="D212" s="7" t="s">
        <v>30</v>
      </c>
      <c r="E212" s="6">
        <f t="shared" si="0"/>
        <v>40</v>
      </c>
    </row>
    <row r="213" spans="1:5" ht="22.5" customHeight="1" x14ac:dyDescent="0.2">
      <c r="A213" s="4">
        <v>17.25</v>
      </c>
      <c r="B213" s="5" t="s">
        <v>911</v>
      </c>
      <c r="C213" s="5" t="s">
        <v>912</v>
      </c>
      <c r="D213" s="7" t="s">
        <v>30</v>
      </c>
      <c r="E213" s="6">
        <f t="shared" si="0"/>
        <v>40</v>
      </c>
    </row>
    <row r="214" spans="1:5" ht="22.5" customHeight="1" x14ac:dyDescent="0.2">
      <c r="A214" s="4">
        <v>17.260000000000002</v>
      </c>
      <c r="B214" s="5" t="s">
        <v>913</v>
      </c>
      <c r="C214" s="5" t="s">
        <v>914</v>
      </c>
      <c r="D214" s="7" t="s">
        <v>30</v>
      </c>
      <c r="E214" s="6">
        <f t="shared" si="0"/>
        <v>40</v>
      </c>
    </row>
    <row r="215" spans="1:5" ht="22.5" customHeight="1" x14ac:dyDescent="0.2">
      <c r="A215" s="4">
        <v>17.27</v>
      </c>
      <c r="B215" s="5" t="s">
        <v>915</v>
      </c>
      <c r="C215" s="5" t="s">
        <v>916</v>
      </c>
      <c r="D215" s="7" t="s">
        <v>30</v>
      </c>
      <c r="E215" s="6">
        <f t="shared" si="0"/>
        <v>40</v>
      </c>
    </row>
    <row r="216" spans="1:5" ht="22.5" customHeight="1" x14ac:dyDescent="0.2">
      <c r="A216" s="4">
        <v>17.28</v>
      </c>
      <c r="B216" s="5" t="s">
        <v>917</v>
      </c>
      <c r="C216" s="5" t="s">
        <v>918</v>
      </c>
      <c r="D216" s="7" t="s">
        <v>30</v>
      </c>
      <c r="E216" s="6">
        <f t="shared" si="0"/>
        <v>40</v>
      </c>
    </row>
    <row r="217" spans="1:5" ht="22.5" customHeight="1" x14ac:dyDescent="0.2">
      <c r="A217" s="4">
        <v>18.100000000000001</v>
      </c>
      <c r="B217" s="5" t="s">
        <v>563</v>
      </c>
      <c r="C217" s="5" t="s">
        <v>564</v>
      </c>
      <c r="D217" s="7" t="s">
        <v>30</v>
      </c>
      <c r="E217" s="6">
        <f t="shared" si="0"/>
        <v>40</v>
      </c>
    </row>
    <row r="218" spans="1:5" ht="22.5" customHeight="1" x14ac:dyDescent="0.2">
      <c r="A218" s="4">
        <v>18.2</v>
      </c>
      <c r="B218" s="5" t="s">
        <v>919</v>
      </c>
      <c r="C218" s="5" t="s">
        <v>920</v>
      </c>
      <c r="D218" s="7" t="s">
        <v>30</v>
      </c>
      <c r="E218" s="6">
        <f t="shared" si="0"/>
        <v>40</v>
      </c>
    </row>
    <row r="219" spans="1:5" ht="22.5" customHeight="1" x14ac:dyDescent="0.2">
      <c r="A219" s="4">
        <v>18.3</v>
      </c>
      <c r="B219" s="5" t="s">
        <v>919</v>
      </c>
      <c r="C219" s="5" t="s">
        <v>921</v>
      </c>
      <c r="D219" s="7" t="s">
        <v>30</v>
      </c>
      <c r="E219" s="6">
        <f t="shared" si="0"/>
        <v>40</v>
      </c>
    </row>
    <row r="220" spans="1:5" ht="22.5" customHeight="1" x14ac:dyDescent="0.2">
      <c r="A220" s="4">
        <v>18.399999999999999</v>
      </c>
      <c r="B220" s="5" t="s">
        <v>567</v>
      </c>
      <c r="C220" s="5" t="s">
        <v>568</v>
      </c>
      <c r="D220" s="7" t="s">
        <v>30</v>
      </c>
      <c r="E220" s="6">
        <f t="shared" si="0"/>
        <v>40</v>
      </c>
    </row>
    <row r="221" spans="1:5" ht="22.5" customHeight="1" x14ac:dyDescent="0.2">
      <c r="A221" s="4">
        <v>18.5</v>
      </c>
      <c r="B221" s="5" t="s">
        <v>922</v>
      </c>
      <c r="C221" s="5" t="s">
        <v>923</v>
      </c>
      <c r="D221" s="7" t="s">
        <v>30</v>
      </c>
      <c r="E221" s="6">
        <f t="shared" si="0"/>
        <v>40</v>
      </c>
    </row>
    <row r="222" spans="1:5" ht="22.5" customHeight="1" x14ac:dyDescent="0.2">
      <c r="A222" s="4">
        <v>18.600000000000001</v>
      </c>
      <c r="B222" s="5" t="s">
        <v>924</v>
      </c>
      <c r="C222" s="5" t="s">
        <v>925</v>
      </c>
      <c r="D222" s="7" t="s">
        <v>30</v>
      </c>
      <c r="E222" s="6">
        <f t="shared" si="0"/>
        <v>40</v>
      </c>
    </row>
    <row r="223" spans="1:5" ht="22.5" customHeight="1" x14ac:dyDescent="0.2">
      <c r="A223" s="4">
        <v>18.7</v>
      </c>
      <c r="B223" s="5" t="s">
        <v>926</v>
      </c>
      <c r="C223" s="5" t="s">
        <v>927</v>
      </c>
      <c r="D223" s="7" t="s">
        <v>30</v>
      </c>
      <c r="E223" s="6">
        <f t="shared" si="0"/>
        <v>40</v>
      </c>
    </row>
    <row r="224" spans="1:5" ht="22.5" customHeight="1" x14ac:dyDescent="0.2">
      <c r="A224" s="4">
        <v>18.8</v>
      </c>
      <c r="B224" s="5" t="s">
        <v>928</v>
      </c>
      <c r="C224" s="5" t="s">
        <v>929</v>
      </c>
      <c r="D224" s="7" t="s">
        <v>30</v>
      </c>
      <c r="E224" s="6">
        <f t="shared" si="0"/>
        <v>40</v>
      </c>
    </row>
    <row r="225" spans="1:5" ht="22.5" customHeight="1" x14ac:dyDescent="0.2">
      <c r="A225" s="4">
        <v>18.899999999999999</v>
      </c>
      <c r="B225" s="5" t="s">
        <v>930</v>
      </c>
      <c r="C225" s="5" t="s">
        <v>931</v>
      </c>
      <c r="D225" s="7" t="s">
        <v>30</v>
      </c>
      <c r="E225" s="6">
        <f t="shared" si="0"/>
        <v>40</v>
      </c>
    </row>
    <row r="226" spans="1:5" ht="22.5" customHeight="1" x14ac:dyDescent="0.2">
      <c r="A226" s="4">
        <v>18.100000000000001</v>
      </c>
      <c r="B226" s="5" t="s">
        <v>917</v>
      </c>
      <c r="C226" s="5" t="s">
        <v>932</v>
      </c>
      <c r="D226" s="7" t="s">
        <v>30</v>
      </c>
      <c r="E226" s="6">
        <f t="shared" si="0"/>
        <v>40</v>
      </c>
    </row>
    <row r="227" spans="1:5" ht="22.5" customHeight="1" x14ac:dyDescent="0.2">
      <c r="A227" s="4">
        <v>18.11</v>
      </c>
      <c r="B227" s="5" t="s">
        <v>933</v>
      </c>
      <c r="C227" s="5" t="s">
        <v>934</v>
      </c>
      <c r="D227" s="7" t="s">
        <v>30</v>
      </c>
      <c r="E227" s="6">
        <f t="shared" si="0"/>
        <v>40</v>
      </c>
    </row>
    <row r="228" spans="1:5" ht="22.5" customHeight="1" x14ac:dyDescent="0.2">
      <c r="A228" s="4">
        <v>18.12</v>
      </c>
      <c r="B228" s="5" t="s">
        <v>935</v>
      </c>
      <c r="C228" s="5" t="s">
        <v>936</v>
      </c>
      <c r="D228" s="7" t="s">
        <v>30</v>
      </c>
      <c r="E228" s="6">
        <f t="shared" si="0"/>
        <v>40</v>
      </c>
    </row>
    <row r="229" spans="1:5" ht="22.5" customHeight="1" x14ac:dyDescent="0.2">
      <c r="A229" s="4">
        <v>18.13</v>
      </c>
      <c r="B229" s="5" t="s">
        <v>937</v>
      </c>
      <c r="C229" s="5" t="s">
        <v>938</v>
      </c>
      <c r="D229" s="7" t="s">
        <v>30</v>
      </c>
      <c r="E229" s="6">
        <f t="shared" si="0"/>
        <v>40</v>
      </c>
    </row>
    <row r="230" spans="1:5" ht="22.5" customHeight="1" x14ac:dyDescent="0.2">
      <c r="A230" s="4">
        <v>19.100000000000001</v>
      </c>
      <c r="B230" s="5" t="s">
        <v>545</v>
      </c>
      <c r="C230" s="5" t="s">
        <v>939</v>
      </c>
      <c r="D230" s="7" t="s">
        <v>30</v>
      </c>
      <c r="E230" s="6">
        <f t="shared" si="0"/>
        <v>40</v>
      </c>
    </row>
    <row r="231" spans="1:5" ht="22.5" customHeight="1" x14ac:dyDescent="0.2">
      <c r="A231" s="4">
        <v>19.2</v>
      </c>
      <c r="B231" s="5" t="s">
        <v>940</v>
      </c>
      <c r="C231" s="5" t="s">
        <v>941</v>
      </c>
      <c r="D231" s="7" t="s">
        <v>30</v>
      </c>
      <c r="E231" s="6">
        <f t="shared" si="0"/>
        <v>40</v>
      </c>
    </row>
    <row r="232" spans="1:5" ht="22.5" customHeight="1" x14ac:dyDescent="0.2">
      <c r="A232" s="4">
        <v>19.3</v>
      </c>
      <c r="B232" s="5" t="s">
        <v>942</v>
      </c>
      <c r="C232" s="5" t="s">
        <v>943</v>
      </c>
      <c r="D232" s="7" t="s">
        <v>30</v>
      </c>
      <c r="E232" s="6">
        <f t="shared" si="0"/>
        <v>40</v>
      </c>
    </row>
    <row r="233" spans="1:5" ht="22.5" customHeight="1" x14ac:dyDescent="0.2">
      <c r="A233" s="4">
        <v>19.399999999999999</v>
      </c>
      <c r="B233" s="5" t="s">
        <v>944</v>
      </c>
      <c r="C233" s="5" t="s">
        <v>945</v>
      </c>
      <c r="D233" s="7" t="s">
        <v>30</v>
      </c>
      <c r="E233" s="6">
        <f t="shared" si="0"/>
        <v>40</v>
      </c>
    </row>
    <row r="234" spans="1:5" ht="22.5" customHeight="1" x14ac:dyDescent="0.2">
      <c r="A234" s="4">
        <v>19.5</v>
      </c>
      <c r="B234" s="5" t="s">
        <v>561</v>
      </c>
      <c r="C234" s="5" t="s">
        <v>946</v>
      </c>
      <c r="D234" s="7" t="s">
        <v>30</v>
      </c>
      <c r="E234" s="6">
        <f t="shared" si="0"/>
        <v>40</v>
      </c>
    </row>
    <row r="235" spans="1:5" ht="22.5" customHeight="1" x14ac:dyDescent="0.2">
      <c r="A235" s="4">
        <v>19.600000000000001</v>
      </c>
      <c r="B235" s="5" t="s">
        <v>565</v>
      </c>
      <c r="C235" s="5" t="s">
        <v>947</v>
      </c>
      <c r="D235" s="7" t="s">
        <v>30</v>
      </c>
      <c r="E235" s="6">
        <f t="shared" si="0"/>
        <v>40</v>
      </c>
    </row>
    <row r="236" spans="1:5" ht="22.5" customHeight="1" x14ac:dyDescent="0.2">
      <c r="A236" s="4">
        <v>19.7</v>
      </c>
      <c r="B236" s="5" t="s">
        <v>948</v>
      </c>
      <c r="C236" s="5" t="s">
        <v>949</v>
      </c>
      <c r="D236" s="7" t="s">
        <v>30</v>
      </c>
      <c r="E236" s="6">
        <f t="shared" si="0"/>
        <v>40</v>
      </c>
    </row>
    <row r="237" spans="1:5" ht="22.5" customHeight="1" x14ac:dyDescent="0.2">
      <c r="A237" s="4">
        <v>19.8</v>
      </c>
      <c r="B237" s="5" t="s">
        <v>624</v>
      </c>
      <c r="C237" s="5" t="s">
        <v>950</v>
      </c>
      <c r="D237" s="7" t="s">
        <v>30</v>
      </c>
      <c r="E237" s="6">
        <f t="shared" si="0"/>
        <v>40</v>
      </c>
    </row>
    <row r="238" spans="1:5" ht="22.5" customHeight="1" x14ac:dyDescent="0.2">
      <c r="A238" s="4">
        <v>19.899999999999999</v>
      </c>
      <c r="B238" s="5" t="s">
        <v>951</v>
      </c>
      <c r="C238" s="5" t="s">
        <v>952</v>
      </c>
      <c r="D238" s="7" t="s">
        <v>30</v>
      </c>
      <c r="E238" s="6">
        <f t="shared" si="0"/>
        <v>40</v>
      </c>
    </row>
    <row r="239" spans="1:5" ht="22.5" customHeight="1" x14ac:dyDescent="0.2">
      <c r="A239" s="4">
        <v>19.100000000000001</v>
      </c>
      <c r="B239" s="5" t="s">
        <v>953</v>
      </c>
      <c r="C239" s="5" t="s">
        <v>954</v>
      </c>
      <c r="D239" s="7" t="s">
        <v>30</v>
      </c>
      <c r="E239" s="6">
        <f t="shared" si="0"/>
        <v>40</v>
      </c>
    </row>
    <row r="240" spans="1:5" ht="22.5" customHeight="1" x14ac:dyDescent="0.2">
      <c r="A240" s="4">
        <v>20.100000000000001</v>
      </c>
      <c r="B240" s="5" t="s">
        <v>955</v>
      </c>
      <c r="C240" s="5" t="s">
        <v>956</v>
      </c>
      <c r="D240" s="7" t="s">
        <v>27</v>
      </c>
      <c r="E240" s="6">
        <f t="shared" si="0"/>
        <v>16</v>
      </c>
    </row>
    <row r="241" spans="1:5" ht="22.5" customHeight="1" x14ac:dyDescent="0.2">
      <c r="A241" s="4">
        <v>20.2</v>
      </c>
      <c r="B241" s="5" t="s">
        <v>957</v>
      </c>
      <c r="C241" s="5" t="s">
        <v>958</v>
      </c>
      <c r="D241" s="7" t="s">
        <v>30</v>
      </c>
      <c r="E241" s="6">
        <f t="shared" si="0"/>
        <v>40</v>
      </c>
    </row>
    <row r="242" spans="1:5" ht="22.5" customHeight="1" x14ac:dyDescent="0.2">
      <c r="A242" s="4">
        <v>20.3</v>
      </c>
      <c r="B242" s="5" t="s">
        <v>959</v>
      </c>
      <c r="C242" s="5" t="s">
        <v>960</v>
      </c>
      <c r="D242" s="7" t="s">
        <v>30</v>
      </c>
      <c r="E242" s="6">
        <f t="shared" si="0"/>
        <v>40</v>
      </c>
    </row>
    <row r="243" spans="1:5" ht="22.5" customHeight="1" x14ac:dyDescent="0.2">
      <c r="A243" s="4">
        <v>21.1</v>
      </c>
      <c r="B243" s="5" t="s">
        <v>961</v>
      </c>
      <c r="C243" s="5" t="s">
        <v>962</v>
      </c>
      <c r="D243" s="7" t="s">
        <v>27</v>
      </c>
      <c r="E243" s="6">
        <f t="shared" si="0"/>
        <v>16</v>
      </c>
    </row>
    <row r="244" spans="1:5" ht="22.5" customHeight="1" x14ac:dyDescent="0.2">
      <c r="A244" s="4">
        <v>21.2</v>
      </c>
      <c r="B244" s="5" t="s">
        <v>963</v>
      </c>
      <c r="C244" s="5" t="s">
        <v>964</v>
      </c>
      <c r="D244" s="7" t="s">
        <v>30</v>
      </c>
      <c r="E244" s="6">
        <f t="shared" si="0"/>
        <v>40</v>
      </c>
    </row>
    <row r="245" spans="1:5" ht="22.5" customHeight="1" x14ac:dyDescent="0.2">
      <c r="A245" s="4" t="s">
        <v>54</v>
      </c>
      <c r="B245" s="5" t="s">
        <v>965</v>
      </c>
      <c r="C245" s="5" t="s">
        <v>966</v>
      </c>
      <c r="D245" s="7" t="s">
        <v>30</v>
      </c>
      <c r="E245" s="6">
        <f t="shared" si="0"/>
        <v>40</v>
      </c>
    </row>
    <row r="246" spans="1:5" ht="22.5" customHeight="1" x14ac:dyDescent="0.2">
      <c r="A246" s="4" t="s">
        <v>339</v>
      </c>
      <c r="B246" s="5" t="s">
        <v>571</v>
      </c>
      <c r="C246" s="5" t="s">
        <v>572</v>
      </c>
      <c r="D246" s="7" t="s">
        <v>35</v>
      </c>
      <c r="E246" s="6">
        <f t="shared" si="0"/>
        <v>100</v>
      </c>
    </row>
    <row r="247" spans="1:5" ht="22.5" customHeight="1" x14ac:dyDescent="0.2">
      <c r="A247" s="4" t="s">
        <v>342</v>
      </c>
      <c r="B247" s="5" t="s">
        <v>967</v>
      </c>
      <c r="C247" s="5" t="s">
        <v>968</v>
      </c>
      <c r="D247" s="7" t="s">
        <v>35</v>
      </c>
      <c r="E247" s="6">
        <f t="shared" si="0"/>
        <v>100</v>
      </c>
    </row>
    <row r="248" spans="1:5" ht="22.5" customHeight="1" x14ac:dyDescent="0.2">
      <c r="A248" s="4" t="s">
        <v>59</v>
      </c>
      <c r="B248" s="5" t="s">
        <v>969</v>
      </c>
      <c r="C248" s="5" t="s">
        <v>970</v>
      </c>
      <c r="D248" s="7" t="s">
        <v>27</v>
      </c>
      <c r="E248" s="6">
        <f t="shared" si="0"/>
        <v>16</v>
      </c>
    </row>
    <row r="249" spans="1:5" ht="22.5" customHeight="1" x14ac:dyDescent="0.2">
      <c r="A249" s="4" t="s">
        <v>64</v>
      </c>
      <c r="B249" s="5" t="s">
        <v>971</v>
      </c>
      <c r="C249" s="5" t="s">
        <v>972</v>
      </c>
      <c r="D249" s="7" t="s">
        <v>35</v>
      </c>
      <c r="E249" s="6">
        <f t="shared" si="0"/>
        <v>100</v>
      </c>
    </row>
    <row r="250" spans="1:5" ht="22.5" customHeight="1" x14ac:dyDescent="0.2">
      <c r="A250" s="4" t="s">
        <v>69</v>
      </c>
      <c r="B250" s="5" t="s">
        <v>973</v>
      </c>
      <c r="C250" s="5" t="s">
        <v>974</v>
      </c>
      <c r="D250" s="7" t="s">
        <v>30</v>
      </c>
      <c r="E250" s="6">
        <f t="shared" si="0"/>
        <v>40</v>
      </c>
    </row>
    <row r="251" spans="1:5" ht="22.5" customHeight="1" x14ac:dyDescent="0.2">
      <c r="A251" s="4" t="s">
        <v>74</v>
      </c>
      <c r="B251" s="5" t="s">
        <v>575</v>
      </c>
      <c r="C251" s="5" t="s">
        <v>576</v>
      </c>
      <c r="D251" s="7" t="s">
        <v>30</v>
      </c>
      <c r="E251" s="6">
        <f t="shared" si="0"/>
        <v>40</v>
      </c>
    </row>
    <row r="252" spans="1:5" ht="22.5" customHeight="1" x14ac:dyDescent="0.2">
      <c r="A252" s="4" t="s">
        <v>345</v>
      </c>
      <c r="B252" s="5" t="s">
        <v>579</v>
      </c>
      <c r="C252" s="5" t="s">
        <v>580</v>
      </c>
      <c r="D252" s="7" t="s">
        <v>35</v>
      </c>
      <c r="E252" s="6">
        <f t="shared" si="0"/>
        <v>100</v>
      </c>
    </row>
    <row r="253" spans="1:5" ht="22.5" customHeight="1" x14ac:dyDescent="0.2">
      <c r="A253" s="4" t="s">
        <v>348</v>
      </c>
      <c r="B253" s="5" t="s">
        <v>975</v>
      </c>
      <c r="C253" s="5" t="s">
        <v>976</v>
      </c>
      <c r="D253" s="7" t="s">
        <v>27</v>
      </c>
      <c r="E253" s="6">
        <f t="shared" si="0"/>
        <v>16</v>
      </c>
    </row>
    <row r="254" spans="1:5" ht="22.5" customHeight="1" x14ac:dyDescent="0.2">
      <c r="A254" s="18">
        <f>COUNTA(Detailed_Analysis_3[Step Num])</f>
        <v>247</v>
      </c>
      <c r="B254" s="18"/>
      <c r="C254" s="18"/>
      <c r="D254" s="18"/>
      <c r="E254" s="18">
        <f>SUM(Detailed_Analysis_3[Effort Hours (hrs)])</f>
        <v>11932</v>
      </c>
    </row>
  </sheetData>
  <mergeCells count="2">
    <mergeCell ref="A1:K1"/>
    <mergeCell ref="A2:K2"/>
  </mergeCells>
  <conditionalFormatting sqref="D7:D253">
    <cfRule type="cellIs" dxfId="40" priority="1" operator="equal">
      <formula>"HIGH"</formula>
    </cfRule>
    <cfRule type="cellIs" dxfId="39" priority="2" operator="equal">
      <formula>"MEDIUM"</formula>
    </cfRule>
    <cfRule type="cellIs" dxfId="38" priority="3" operator="equal">
      <formula>"LOW"</formula>
    </cfRule>
  </conditionalFormatting>
  <conditionalFormatting sqref="J7:J27">
    <cfRule type="cellIs" dxfId="37" priority="4" operator="equal">
      <formula>"HIGH"</formula>
    </cfRule>
    <cfRule type="cellIs" dxfId="36" priority="5" operator="equal">
      <formula>"MEDIUM"</formula>
    </cfRule>
    <cfRule type="cellIs" dxfId="35" priority="6" operator="equal">
      <formula>"LOW"</formula>
    </cfRule>
  </conditionalFormatting>
  <dataValidations count="2">
    <dataValidation type="custom" allowBlank="1" showDropDown="1" sqref="O3:P4 G7:G27 K7:K27 A7:A253 E7:E253" xr:uid="{00000000-0002-0000-0300-000000000000}">
      <formula1>AND(ISNUMBER(A3),(NOT(OR(NOT(ISERROR(DATEVALUE(A3))), AND(ISNUMBER(A3), LEFT(CELL("format", A3))="D")))))</formula1>
    </dataValidation>
    <dataValidation type="list" allowBlank="1" sqref="J7:J27 D7:D253" xr:uid="{00000000-0002-0000-0300-000001000000}">
      <formula1>"LOW,MEDIUM,HIGH"</formula1>
    </dataValidation>
  </dataValidations>
  <pageMargins left="0.7" right="0.7" top="0.75" bottom="0.75" header="0.3" footer="0.3"/>
  <ignoredErrors>
    <ignoredError sqref="G21:G27 A245:A253" listDataValidation="1"/>
  </ignoredErrors>
  <tableParts count="3">
    <tablePart r:id="rId1"/>
    <tablePart r:id="rId2"/>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P209"/>
  <sheetViews>
    <sheetView workbookViewId="0">
      <selection activeCell="M23" sqref="M23"/>
    </sheetView>
  </sheetViews>
  <sheetFormatPr defaultColWidth="12.5703125" defaultRowHeight="15.75" customHeight="1" x14ac:dyDescent="0.2"/>
  <cols>
    <col min="1" max="1" width="12.5703125" style="21"/>
    <col min="2" max="2" width="27.42578125" style="21" customWidth="1"/>
    <col min="3" max="3" width="69.140625" style="21" customWidth="1"/>
    <col min="4" max="7" width="12.5703125" style="21"/>
    <col min="8" max="8" width="29.85546875" style="21" customWidth="1"/>
    <col min="9" max="9" width="83.140625" style="21" customWidth="1"/>
    <col min="10" max="13" width="12.5703125" style="21"/>
    <col min="14" max="14" width="21.28515625" style="21" customWidth="1"/>
    <col min="15" max="15" width="18.42578125" style="21" customWidth="1"/>
    <col min="16" max="16" width="25.42578125" style="21" customWidth="1"/>
    <col min="17" max="16384" width="12.5703125" style="21"/>
  </cols>
  <sheetData>
    <row r="1" spans="1:16" ht="38.25" x14ac:dyDescent="0.2">
      <c r="A1" s="25" t="s">
        <v>977</v>
      </c>
      <c r="B1" s="26"/>
      <c r="C1" s="26"/>
      <c r="D1" s="26"/>
      <c r="E1" s="26"/>
      <c r="F1" s="26"/>
      <c r="G1" s="26"/>
      <c r="H1" s="26"/>
      <c r="I1" s="26"/>
      <c r="J1" s="26"/>
      <c r="K1" s="26"/>
    </row>
    <row r="2" spans="1:16" ht="22.5" customHeight="1" x14ac:dyDescent="0.4">
      <c r="A2" s="27" t="s">
        <v>978</v>
      </c>
      <c r="B2" s="26"/>
      <c r="C2" s="26"/>
      <c r="D2" s="26"/>
      <c r="E2" s="26"/>
      <c r="F2" s="26"/>
      <c r="G2" s="26"/>
      <c r="H2" s="26"/>
      <c r="I2" s="26"/>
      <c r="J2" s="26"/>
      <c r="K2" s="26"/>
      <c r="N2" s="15" t="s">
        <v>17</v>
      </c>
      <c r="O2" s="15" t="s">
        <v>18</v>
      </c>
      <c r="P2" s="15" t="s">
        <v>3</v>
      </c>
    </row>
    <row r="3" spans="1:16" ht="22.5" customHeight="1" x14ac:dyDescent="0.2">
      <c r="A3" s="1"/>
      <c r="B3" s="1"/>
      <c r="C3" s="2"/>
      <c r="D3" s="1"/>
      <c r="E3" s="2"/>
      <c r="F3" s="1"/>
      <c r="G3" s="1"/>
      <c r="H3" s="1"/>
      <c r="I3" s="2"/>
      <c r="J3" s="1"/>
      <c r="K3" s="2"/>
      <c r="N3" s="18" t="s">
        <v>19</v>
      </c>
      <c r="O3" s="18">
        <f>Detailed_Analysis_4[[#Totals],[Step Num]]</f>
        <v>202</v>
      </c>
      <c r="P3" s="18">
        <f>Detailed_Analysis_4[[#Totals],[Effort Hours (hrs)]]</f>
        <v>6508</v>
      </c>
    </row>
    <row r="4" spans="1:16" ht="22.5" customHeight="1" x14ac:dyDescent="0.2">
      <c r="A4" s="1"/>
      <c r="B4" s="1"/>
      <c r="C4" s="2"/>
      <c r="D4" s="1"/>
      <c r="E4" s="2"/>
      <c r="F4" s="1"/>
      <c r="G4" s="1"/>
      <c r="H4" s="1"/>
      <c r="I4" s="2"/>
      <c r="J4" s="1"/>
      <c r="K4" s="2"/>
      <c r="N4" s="18" t="s">
        <v>20</v>
      </c>
      <c r="O4" s="18">
        <f>Streamlined_Analysis_4[[#Totals],[Step Num]]</f>
        <v>29</v>
      </c>
      <c r="P4" s="18">
        <f>Streamlined_Analysis_4[[#Totals],[Effort Hours (hrs)]]</f>
        <v>1520</v>
      </c>
    </row>
    <row r="5" spans="1:16" ht="12.75" x14ac:dyDescent="0.2">
      <c r="A5" s="1"/>
      <c r="B5" s="1"/>
      <c r="C5" s="2"/>
      <c r="D5" s="1"/>
      <c r="E5" s="2"/>
      <c r="F5" s="1"/>
      <c r="G5" s="1"/>
      <c r="H5" s="1"/>
      <c r="I5" s="2"/>
      <c r="J5" s="1"/>
      <c r="K5" s="2"/>
    </row>
    <row r="6" spans="1:16" ht="28.5" customHeight="1" x14ac:dyDescent="0.2">
      <c r="A6" s="15" t="s">
        <v>21</v>
      </c>
      <c r="B6" s="15" t="s">
        <v>22</v>
      </c>
      <c r="C6" s="16" t="s">
        <v>23</v>
      </c>
      <c r="D6" s="15" t="s">
        <v>24</v>
      </c>
      <c r="E6" s="16" t="s">
        <v>3</v>
      </c>
      <c r="F6" s="1"/>
      <c r="G6" s="15" t="s">
        <v>21</v>
      </c>
      <c r="H6" s="15" t="s">
        <v>22</v>
      </c>
      <c r="I6" s="16" t="s">
        <v>23</v>
      </c>
      <c r="J6" s="15" t="s">
        <v>24</v>
      </c>
      <c r="K6" s="16" t="s">
        <v>3</v>
      </c>
    </row>
    <row r="7" spans="1:16" ht="22.5" customHeight="1" x14ac:dyDescent="0.2">
      <c r="A7" s="4">
        <v>5.0999999999999996</v>
      </c>
      <c r="B7" s="5" t="s">
        <v>979</v>
      </c>
      <c r="C7" s="5" t="s">
        <v>980</v>
      </c>
      <c r="D7" s="7" t="s">
        <v>27</v>
      </c>
      <c r="E7" s="6">
        <f t="shared" ref="E7:E208" si="0">IF(D7="LOW", 16, IF(D7="MEDIUM", 40, IF(D7="HIGH", 100, "")))</f>
        <v>16</v>
      </c>
      <c r="F7" s="1"/>
      <c r="G7" s="4">
        <v>5.0999999999999996</v>
      </c>
      <c r="H7" s="5" t="s">
        <v>979</v>
      </c>
      <c r="I7" s="5" t="s">
        <v>980</v>
      </c>
      <c r="J7" s="7" t="s">
        <v>30</v>
      </c>
      <c r="K7" s="6">
        <f t="shared" ref="K7:K35" si="1">IF(J7="LOW", 16, IF(J7="MEDIUM", 40, IF(J7="HIGH", 100, "")))</f>
        <v>40</v>
      </c>
    </row>
    <row r="8" spans="1:16" ht="22.5" customHeight="1" x14ac:dyDescent="0.2">
      <c r="A8" s="4">
        <v>5.2</v>
      </c>
      <c r="B8" s="5" t="s">
        <v>981</v>
      </c>
      <c r="C8" s="5" t="s">
        <v>982</v>
      </c>
      <c r="D8" s="7" t="s">
        <v>30</v>
      </c>
      <c r="E8" s="6">
        <f t="shared" si="0"/>
        <v>40</v>
      </c>
      <c r="F8" s="1"/>
      <c r="G8" s="4">
        <v>5.2</v>
      </c>
      <c r="H8" s="5" t="s">
        <v>981</v>
      </c>
      <c r="I8" s="5" t="s">
        <v>982</v>
      </c>
      <c r="J8" s="7" t="s">
        <v>30</v>
      </c>
      <c r="K8" s="6">
        <f t="shared" si="1"/>
        <v>40</v>
      </c>
    </row>
    <row r="9" spans="1:16" ht="22.5" customHeight="1" x14ac:dyDescent="0.2">
      <c r="A9" s="4">
        <v>5.3</v>
      </c>
      <c r="B9" s="5" t="s">
        <v>983</v>
      </c>
      <c r="C9" s="5" t="s">
        <v>984</v>
      </c>
      <c r="D9" s="7" t="s">
        <v>27</v>
      </c>
      <c r="E9" s="6">
        <f t="shared" si="0"/>
        <v>16</v>
      </c>
      <c r="F9" s="1"/>
      <c r="G9" s="4">
        <v>5.3</v>
      </c>
      <c r="H9" s="5" t="s">
        <v>983</v>
      </c>
      <c r="I9" s="5" t="s">
        <v>984</v>
      </c>
      <c r="J9" s="7" t="s">
        <v>30</v>
      </c>
      <c r="K9" s="6">
        <f t="shared" si="1"/>
        <v>40</v>
      </c>
    </row>
    <row r="10" spans="1:16" ht="22.5" customHeight="1" x14ac:dyDescent="0.2">
      <c r="A10" s="4">
        <v>6.1</v>
      </c>
      <c r="B10" s="5" t="s">
        <v>985</v>
      </c>
      <c r="C10" s="5" t="s">
        <v>986</v>
      </c>
      <c r="D10" s="7" t="s">
        <v>27</v>
      </c>
      <c r="E10" s="6">
        <f t="shared" si="0"/>
        <v>16</v>
      </c>
      <c r="F10" s="1"/>
      <c r="G10" s="4">
        <v>7.3</v>
      </c>
      <c r="H10" s="5" t="s">
        <v>987</v>
      </c>
      <c r="I10" s="5" t="s">
        <v>988</v>
      </c>
      <c r="J10" s="7" t="s">
        <v>35</v>
      </c>
      <c r="K10" s="6">
        <f t="shared" si="1"/>
        <v>100</v>
      </c>
    </row>
    <row r="11" spans="1:16" ht="22.5" customHeight="1" x14ac:dyDescent="0.2">
      <c r="A11" s="4">
        <v>7.1</v>
      </c>
      <c r="B11" s="5" t="s">
        <v>989</v>
      </c>
      <c r="C11" s="5" t="s">
        <v>990</v>
      </c>
      <c r="D11" s="7" t="s">
        <v>27</v>
      </c>
      <c r="E11" s="6">
        <f t="shared" si="0"/>
        <v>16</v>
      </c>
      <c r="F11" s="1"/>
      <c r="G11" s="4">
        <v>11.1</v>
      </c>
      <c r="H11" s="5" t="s">
        <v>991</v>
      </c>
      <c r="I11" s="5" t="s">
        <v>992</v>
      </c>
      <c r="J11" s="7" t="s">
        <v>35</v>
      </c>
      <c r="K11" s="6">
        <f t="shared" si="1"/>
        <v>100</v>
      </c>
    </row>
    <row r="12" spans="1:16" ht="22.5" customHeight="1" x14ac:dyDescent="0.2">
      <c r="A12" s="4">
        <v>7.2</v>
      </c>
      <c r="B12" s="5" t="s">
        <v>993</v>
      </c>
      <c r="C12" s="5" t="s">
        <v>994</v>
      </c>
      <c r="D12" s="7" t="s">
        <v>27</v>
      </c>
      <c r="E12" s="6">
        <f t="shared" si="0"/>
        <v>16</v>
      </c>
      <c r="F12" s="1"/>
      <c r="G12" s="4">
        <v>11.4</v>
      </c>
      <c r="H12" s="5" t="s">
        <v>995</v>
      </c>
      <c r="I12" s="5" t="s">
        <v>996</v>
      </c>
      <c r="J12" s="7" t="s">
        <v>30</v>
      </c>
      <c r="K12" s="6">
        <f t="shared" si="1"/>
        <v>40</v>
      </c>
    </row>
    <row r="13" spans="1:16" ht="22.5" customHeight="1" x14ac:dyDescent="0.2">
      <c r="A13" s="4">
        <v>7.3</v>
      </c>
      <c r="B13" s="5" t="s">
        <v>987</v>
      </c>
      <c r="C13" s="5" t="s">
        <v>988</v>
      </c>
      <c r="D13" s="7" t="s">
        <v>35</v>
      </c>
      <c r="E13" s="6">
        <f t="shared" si="0"/>
        <v>100</v>
      </c>
      <c r="F13" s="1"/>
      <c r="G13" s="4">
        <v>13.4</v>
      </c>
      <c r="H13" s="5" t="s">
        <v>997</v>
      </c>
      <c r="I13" s="5" t="s">
        <v>998</v>
      </c>
      <c r="J13" s="7" t="s">
        <v>35</v>
      </c>
      <c r="K13" s="6">
        <f t="shared" si="1"/>
        <v>100</v>
      </c>
    </row>
    <row r="14" spans="1:16" ht="22.5" customHeight="1" x14ac:dyDescent="0.2">
      <c r="A14" s="4">
        <v>7.4</v>
      </c>
      <c r="B14" s="5" t="s">
        <v>999</v>
      </c>
      <c r="C14" s="5" t="s">
        <v>1000</v>
      </c>
      <c r="D14" s="7" t="s">
        <v>30</v>
      </c>
      <c r="E14" s="6">
        <f t="shared" si="0"/>
        <v>40</v>
      </c>
      <c r="F14" s="1"/>
      <c r="G14" s="4">
        <v>15.7</v>
      </c>
      <c r="H14" s="5" t="s">
        <v>1001</v>
      </c>
      <c r="I14" s="5" t="s">
        <v>1002</v>
      </c>
      <c r="J14" s="7" t="s">
        <v>27</v>
      </c>
      <c r="K14" s="6">
        <f t="shared" si="1"/>
        <v>16</v>
      </c>
    </row>
    <row r="15" spans="1:16" ht="22.5" customHeight="1" x14ac:dyDescent="0.2">
      <c r="A15" s="4">
        <v>7.5</v>
      </c>
      <c r="B15" s="5" t="s">
        <v>1003</v>
      </c>
      <c r="C15" s="5" t="s">
        <v>1004</v>
      </c>
      <c r="D15" s="7" t="s">
        <v>27</v>
      </c>
      <c r="E15" s="6">
        <f t="shared" si="0"/>
        <v>16</v>
      </c>
      <c r="F15" s="1"/>
      <c r="G15" s="4">
        <v>15.9</v>
      </c>
      <c r="H15" s="5" t="s">
        <v>1005</v>
      </c>
      <c r="I15" s="5" t="s">
        <v>1006</v>
      </c>
      <c r="J15" s="7" t="s">
        <v>35</v>
      </c>
      <c r="K15" s="6">
        <f t="shared" si="1"/>
        <v>100</v>
      </c>
    </row>
    <row r="16" spans="1:16" ht="22.5" customHeight="1" x14ac:dyDescent="0.2">
      <c r="A16" s="4">
        <v>7.6</v>
      </c>
      <c r="B16" s="5" t="s">
        <v>1007</v>
      </c>
      <c r="C16" s="5" t="s">
        <v>1008</v>
      </c>
      <c r="D16" s="7" t="s">
        <v>27</v>
      </c>
      <c r="E16" s="6">
        <f t="shared" si="0"/>
        <v>16</v>
      </c>
      <c r="F16" s="1"/>
      <c r="G16" s="4">
        <v>16.100000000000001</v>
      </c>
      <c r="H16" s="5" t="s">
        <v>1009</v>
      </c>
      <c r="I16" s="5" t="s">
        <v>1010</v>
      </c>
      <c r="J16" s="7" t="s">
        <v>35</v>
      </c>
      <c r="K16" s="6">
        <f t="shared" si="1"/>
        <v>100</v>
      </c>
    </row>
    <row r="17" spans="1:11" ht="22.5" customHeight="1" x14ac:dyDescent="0.2">
      <c r="A17" s="4">
        <v>7.7</v>
      </c>
      <c r="B17" s="5" t="s">
        <v>1011</v>
      </c>
      <c r="C17" s="5" t="s">
        <v>1012</v>
      </c>
      <c r="D17" s="7" t="s">
        <v>27</v>
      </c>
      <c r="E17" s="6">
        <f t="shared" si="0"/>
        <v>16</v>
      </c>
      <c r="F17" s="1"/>
      <c r="G17" s="4">
        <v>16.2</v>
      </c>
      <c r="H17" s="5" t="s">
        <v>1013</v>
      </c>
      <c r="I17" s="5" t="s">
        <v>1014</v>
      </c>
      <c r="J17" s="7" t="s">
        <v>30</v>
      </c>
      <c r="K17" s="6">
        <f t="shared" si="1"/>
        <v>40</v>
      </c>
    </row>
    <row r="18" spans="1:11" ht="22.5" customHeight="1" x14ac:dyDescent="0.2">
      <c r="A18" s="4">
        <v>7.8</v>
      </c>
      <c r="B18" s="5" t="s">
        <v>1015</v>
      </c>
      <c r="C18" s="5" t="s">
        <v>1016</v>
      </c>
      <c r="D18" s="7" t="s">
        <v>30</v>
      </c>
      <c r="E18" s="6">
        <f t="shared" si="0"/>
        <v>40</v>
      </c>
      <c r="F18" s="1"/>
      <c r="G18" s="4">
        <v>16.3</v>
      </c>
      <c r="H18" s="5" t="s">
        <v>1017</v>
      </c>
      <c r="I18" s="5" t="s">
        <v>1018</v>
      </c>
      <c r="J18" s="7" t="s">
        <v>30</v>
      </c>
      <c r="K18" s="6">
        <f t="shared" si="1"/>
        <v>40</v>
      </c>
    </row>
    <row r="19" spans="1:11" ht="22.5" customHeight="1" x14ac:dyDescent="0.2">
      <c r="A19" s="4">
        <v>7.9</v>
      </c>
      <c r="B19" s="5" t="s">
        <v>1019</v>
      </c>
      <c r="C19" s="5" t="s">
        <v>1020</v>
      </c>
      <c r="D19" s="7" t="s">
        <v>27</v>
      </c>
      <c r="E19" s="6">
        <f t="shared" si="0"/>
        <v>16</v>
      </c>
      <c r="G19" s="4">
        <v>16.600000000000001</v>
      </c>
      <c r="H19" s="5" t="s">
        <v>1021</v>
      </c>
      <c r="I19" s="5" t="s">
        <v>1022</v>
      </c>
      <c r="J19" s="7" t="s">
        <v>30</v>
      </c>
      <c r="K19" s="6">
        <f t="shared" si="1"/>
        <v>40</v>
      </c>
    </row>
    <row r="20" spans="1:11" ht="22.5" customHeight="1" x14ac:dyDescent="0.2">
      <c r="A20" s="4">
        <v>7.1</v>
      </c>
      <c r="B20" s="5" t="s">
        <v>1023</v>
      </c>
      <c r="C20" s="5" t="s">
        <v>1024</v>
      </c>
      <c r="D20" s="7" t="s">
        <v>27</v>
      </c>
      <c r="E20" s="6">
        <f t="shared" si="0"/>
        <v>16</v>
      </c>
      <c r="G20" s="4">
        <v>16.899999999999999</v>
      </c>
      <c r="H20" s="5" t="s">
        <v>1025</v>
      </c>
      <c r="I20" s="5" t="s">
        <v>1026</v>
      </c>
      <c r="J20" s="7" t="s">
        <v>35</v>
      </c>
      <c r="K20" s="6">
        <f t="shared" si="1"/>
        <v>100</v>
      </c>
    </row>
    <row r="21" spans="1:11" ht="22.5" customHeight="1" x14ac:dyDescent="0.2">
      <c r="A21" s="4">
        <v>7.11</v>
      </c>
      <c r="B21" s="5" t="s">
        <v>1027</v>
      </c>
      <c r="C21" s="5" t="s">
        <v>1028</v>
      </c>
      <c r="D21" s="7" t="s">
        <v>30</v>
      </c>
      <c r="E21" s="6">
        <f t="shared" si="0"/>
        <v>40</v>
      </c>
      <c r="G21" s="4">
        <v>18.600000000000001</v>
      </c>
      <c r="H21" s="5" t="s">
        <v>1029</v>
      </c>
      <c r="I21" s="5" t="s">
        <v>1030</v>
      </c>
      <c r="J21" s="7" t="s">
        <v>35</v>
      </c>
      <c r="K21" s="6">
        <f t="shared" si="1"/>
        <v>100</v>
      </c>
    </row>
    <row r="22" spans="1:11" ht="22.5" customHeight="1" x14ac:dyDescent="0.2">
      <c r="A22" s="4">
        <v>7.12</v>
      </c>
      <c r="B22" s="5" t="s">
        <v>1031</v>
      </c>
      <c r="C22" s="5" t="s">
        <v>1032</v>
      </c>
      <c r="D22" s="7" t="s">
        <v>27</v>
      </c>
      <c r="E22" s="6">
        <f t="shared" si="0"/>
        <v>16</v>
      </c>
      <c r="G22" s="4">
        <v>18.7</v>
      </c>
      <c r="H22" s="5" t="s">
        <v>1033</v>
      </c>
      <c r="I22" s="5" t="s">
        <v>1034</v>
      </c>
      <c r="J22" s="7" t="s">
        <v>27</v>
      </c>
      <c r="K22" s="6">
        <f t="shared" si="1"/>
        <v>16</v>
      </c>
    </row>
    <row r="23" spans="1:11" ht="22.5" customHeight="1" x14ac:dyDescent="0.2">
      <c r="A23" s="4">
        <v>7.13</v>
      </c>
      <c r="B23" s="5" t="s">
        <v>1035</v>
      </c>
      <c r="C23" s="5" t="s">
        <v>1036</v>
      </c>
      <c r="D23" s="7" t="s">
        <v>27</v>
      </c>
      <c r="E23" s="6">
        <f t="shared" si="0"/>
        <v>16</v>
      </c>
      <c r="G23" s="4">
        <v>18.16</v>
      </c>
      <c r="H23" s="5" t="s">
        <v>1037</v>
      </c>
      <c r="I23" s="5" t="s">
        <v>1038</v>
      </c>
      <c r="J23" s="7" t="s">
        <v>27</v>
      </c>
      <c r="K23" s="6">
        <f t="shared" si="1"/>
        <v>16</v>
      </c>
    </row>
    <row r="24" spans="1:11" ht="22.5" customHeight="1" x14ac:dyDescent="0.2">
      <c r="A24" s="4">
        <v>7.14</v>
      </c>
      <c r="B24" s="5" t="s">
        <v>1039</v>
      </c>
      <c r="C24" s="5" t="s">
        <v>1040</v>
      </c>
      <c r="D24" s="7" t="s">
        <v>27</v>
      </c>
      <c r="E24" s="6">
        <f t="shared" si="0"/>
        <v>16</v>
      </c>
      <c r="G24" s="4">
        <v>18.18</v>
      </c>
      <c r="H24" s="5" t="s">
        <v>1041</v>
      </c>
      <c r="I24" s="5" t="s">
        <v>1042</v>
      </c>
      <c r="J24" s="7" t="s">
        <v>30</v>
      </c>
      <c r="K24" s="6">
        <f t="shared" si="1"/>
        <v>40</v>
      </c>
    </row>
    <row r="25" spans="1:11" ht="22.5" customHeight="1" x14ac:dyDescent="0.2">
      <c r="A25" s="4">
        <v>8.1</v>
      </c>
      <c r="B25" s="5" t="s">
        <v>1043</v>
      </c>
      <c r="C25" s="5" t="s">
        <v>1044</v>
      </c>
      <c r="D25" s="7" t="s">
        <v>27</v>
      </c>
      <c r="E25" s="6">
        <f t="shared" si="0"/>
        <v>16</v>
      </c>
      <c r="G25" s="4">
        <v>18.28</v>
      </c>
      <c r="H25" s="5" t="s">
        <v>1045</v>
      </c>
      <c r="I25" s="5" t="s">
        <v>1046</v>
      </c>
      <c r="J25" s="7" t="s">
        <v>30</v>
      </c>
      <c r="K25" s="6">
        <f t="shared" si="1"/>
        <v>40</v>
      </c>
    </row>
    <row r="26" spans="1:11" ht="22.5" customHeight="1" x14ac:dyDescent="0.2">
      <c r="A26" s="4">
        <v>8.1999999999999993</v>
      </c>
      <c r="B26" s="5" t="s">
        <v>1047</v>
      </c>
      <c r="C26" s="5" t="s">
        <v>1048</v>
      </c>
      <c r="D26" s="7" t="s">
        <v>27</v>
      </c>
      <c r="E26" s="6">
        <f t="shared" si="0"/>
        <v>16</v>
      </c>
      <c r="G26" s="4">
        <v>18.350000000000001</v>
      </c>
      <c r="H26" s="5" t="s">
        <v>1049</v>
      </c>
      <c r="I26" s="5" t="s">
        <v>1050</v>
      </c>
      <c r="J26" s="7" t="s">
        <v>30</v>
      </c>
      <c r="K26" s="6">
        <f t="shared" si="1"/>
        <v>40</v>
      </c>
    </row>
    <row r="27" spans="1:11" ht="22.5" customHeight="1" x14ac:dyDescent="0.2">
      <c r="A27" s="4">
        <v>8.3000000000000007</v>
      </c>
      <c r="B27" s="5" t="s">
        <v>1051</v>
      </c>
      <c r="C27" s="5" t="s">
        <v>1052</v>
      </c>
      <c r="D27" s="7" t="s">
        <v>27</v>
      </c>
      <c r="E27" s="6">
        <f t="shared" si="0"/>
        <v>16</v>
      </c>
      <c r="G27" s="4">
        <v>18.37</v>
      </c>
      <c r="H27" s="5" t="s">
        <v>1053</v>
      </c>
      <c r="I27" s="5" t="s">
        <v>1054</v>
      </c>
      <c r="J27" s="7" t="s">
        <v>30</v>
      </c>
      <c r="K27" s="6">
        <f t="shared" si="1"/>
        <v>40</v>
      </c>
    </row>
    <row r="28" spans="1:11" ht="22.5" customHeight="1" x14ac:dyDescent="0.2">
      <c r="A28" s="4">
        <v>8.4</v>
      </c>
      <c r="B28" s="5" t="s">
        <v>1055</v>
      </c>
      <c r="C28" s="5" t="s">
        <v>1056</v>
      </c>
      <c r="D28" s="7" t="s">
        <v>27</v>
      </c>
      <c r="E28" s="6">
        <f t="shared" si="0"/>
        <v>16</v>
      </c>
      <c r="G28" s="4">
        <v>18.38</v>
      </c>
      <c r="H28" s="5" t="s">
        <v>1057</v>
      </c>
      <c r="I28" s="5" t="s">
        <v>1058</v>
      </c>
      <c r="J28" s="7" t="s">
        <v>30</v>
      </c>
      <c r="K28" s="6">
        <f t="shared" si="1"/>
        <v>40</v>
      </c>
    </row>
    <row r="29" spans="1:11" ht="22.5" customHeight="1" x14ac:dyDescent="0.2">
      <c r="A29" s="4">
        <v>8.5</v>
      </c>
      <c r="B29" s="5" t="s">
        <v>1059</v>
      </c>
      <c r="C29" s="5" t="s">
        <v>1060</v>
      </c>
      <c r="D29" s="7" t="s">
        <v>30</v>
      </c>
      <c r="E29" s="6">
        <f t="shared" si="0"/>
        <v>40</v>
      </c>
      <c r="G29" s="4">
        <v>19.600000000000001</v>
      </c>
      <c r="H29" s="5" t="s">
        <v>1061</v>
      </c>
      <c r="I29" s="5" t="s">
        <v>1062</v>
      </c>
      <c r="J29" s="7" t="s">
        <v>30</v>
      </c>
      <c r="K29" s="6">
        <f t="shared" si="1"/>
        <v>40</v>
      </c>
    </row>
    <row r="30" spans="1:11" ht="22.5" customHeight="1" x14ac:dyDescent="0.2">
      <c r="A30" s="4">
        <v>8.6</v>
      </c>
      <c r="B30" s="5" t="s">
        <v>1063</v>
      </c>
      <c r="C30" s="5" t="s">
        <v>1064</v>
      </c>
      <c r="D30" s="7" t="s">
        <v>30</v>
      </c>
      <c r="E30" s="6">
        <f t="shared" si="0"/>
        <v>40</v>
      </c>
      <c r="G30" s="4">
        <v>20.3</v>
      </c>
      <c r="H30" s="5" t="s">
        <v>1065</v>
      </c>
      <c r="I30" s="5" t="s">
        <v>1066</v>
      </c>
      <c r="J30" s="7" t="s">
        <v>27</v>
      </c>
      <c r="K30" s="6">
        <f t="shared" si="1"/>
        <v>16</v>
      </c>
    </row>
    <row r="31" spans="1:11" ht="22.5" customHeight="1" x14ac:dyDescent="0.2">
      <c r="A31" s="4">
        <v>8.6999999999999993</v>
      </c>
      <c r="B31" s="5" t="s">
        <v>1067</v>
      </c>
      <c r="C31" s="5" t="s">
        <v>1068</v>
      </c>
      <c r="D31" s="7" t="s">
        <v>27</v>
      </c>
      <c r="E31" s="6">
        <f t="shared" si="0"/>
        <v>16</v>
      </c>
      <c r="G31" s="4" t="s">
        <v>54</v>
      </c>
      <c r="H31" s="5" t="s">
        <v>1069</v>
      </c>
      <c r="I31" s="5" t="s">
        <v>1070</v>
      </c>
      <c r="J31" s="7" t="s">
        <v>35</v>
      </c>
      <c r="K31" s="6">
        <f t="shared" si="1"/>
        <v>100</v>
      </c>
    </row>
    <row r="32" spans="1:11" ht="22.5" customHeight="1" x14ac:dyDescent="0.2">
      <c r="A32" s="4">
        <v>8.8000000000000007</v>
      </c>
      <c r="B32" s="5" t="s">
        <v>1071</v>
      </c>
      <c r="C32" s="5" t="s">
        <v>1072</v>
      </c>
      <c r="D32" s="7" t="s">
        <v>30</v>
      </c>
      <c r="E32" s="6">
        <f t="shared" si="0"/>
        <v>40</v>
      </c>
      <c r="G32" s="4" t="s">
        <v>339</v>
      </c>
      <c r="H32" s="5" t="s">
        <v>1073</v>
      </c>
      <c r="I32" s="5" t="s">
        <v>1074</v>
      </c>
      <c r="J32" s="7" t="s">
        <v>30</v>
      </c>
      <c r="K32" s="6">
        <f t="shared" si="1"/>
        <v>40</v>
      </c>
    </row>
    <row r="33" spans="1:11" ht="22.5" customHeight="1" x14ac:dyDescent="0.2">
      <c r="A33" s="4">
        <v>8.9</v>
      </c>
      <c r="B33" s="5" t="s">
        <v>1075</v>
      </c>
      <c r="C33" s="5" t="s">
        <v>1076</v>
      </c>
      <c r="D33" s="7" t="s">
        <v>30</v>
      </c>
      <c r="E33" s="6">
        <f t="shared" si="0"/>
        <v>40</v>
      </c>
      <c r="G33" s="4" t="s">
        <v>342</v>
      </c>
      <c r="H33" s="5" t="s">
        <v>1077</v>
      </c>
      <c r="I33" s="5" t="s">
        <v>1078</v>
      </c>
      <c r="J33" s="7" t="s">
        <v>30</v>
      </c>
      <c r="K33" s="6">
        <f t="shared" si="1"/>
        <v>40</v>
      </c>
    </row>
    <row r="34" spans="1:11" ht="22.5" customHeight="1" x14ac:dyDescent="0.2">
      <c r="A34" s="4">
        <v>8.1</v>
      </c>
      <c r="B34" s="5" t="s">
        <v>1079</v>
      </c>
      <c r="C34" s="5" t="s">
        <v>1080</v>
      </c>
      <c r="D34" s="7" t="s">
        <v>30</v>
      </c>
      <c r="E34" s="6">
        <f t="shared" si="0"/>
        <v>40</v>
      </c>
      <c r="G34" s="4" t="s">
        <v>59</v>
      </c>
      <c r="H34" s="5" t="s">
        <v>1081</v>
      </c>
      <c r="I34" s="5" t="s">
        <v>1082</v>
      </c>
      <c r="J34" s="7" t="s">
        <v>30</v>
      </c>
      <c r="K34" s="6">
        <f t="shared" si="1"/>
        <v>40</v>
      </c>
    </row>
    <row r="35" spans="1:11" ht="22.5" customHeight="1" x14ac:dyDescent="0.2">
      <c r="A35" s="4">
        <v>9.1</v>
      </c>
      <c r="B35" s="5" t="s">
        <v>1083</v>
      </c>
      <c r="C35" s="5" t="s">
        <v>1084</v>
      </c>
      <c r="D35" s="7" t="s">
        <v>30</v>
      </c>
      <c r="E35" s="6">
        <f t="shared" si="0"/>
        <v>40</v>
      </c>
      <c r="G35" s="4" t="s">
        <v>345</v>
      </c>
      <c r="H35" s="5" t="s">
        <v>1085</v>
      </c>
      <c r="I35" s="5" t="s">
        <v>1086</v>
      </c>
      <c r="J35" s="7" t="s">
        <v>27</v>
      </c>
      <c r="K35" s="6">
        <f t="shared" si="1"/>
        <v>16</v>
      </c>
    </row>
    <row r="36" spans="1:11" ht="22.5" customHeight="1" x14ac:dyDescent="0.2">
      <c r="A36" s="4">
        <v>9.1999999999999993</v>
      </c>
      <c r="B36" s="5" t="s">
        <v>1087</v>
      </c>
      <c r="C36" s="5" t="s">
        <v>1088</v>
      </c>
      <c r="D36" s="7" t="s">
        <v>30</v>
      </c>
      <c r="E36" s="6">
        <f t="shared" si="0"/>
        <v>40</v>
      </c>
      <c r="G36" s="18">
        <f>COUNTA(Streamlined_Analysis_4[Step Num])</f>
        <v>29</v>
      </c>
      <c r="H36" s="18"/>
      <c r="I36" s="18"/>
      <c r="J36" s="18"/>
      <c r="K36" s="18">
        <f>SUM(Streamlined_Analysis_4[Effort Hours (hrs)])</f>
        <v>1520</v>
      </c>
    </row>
    <row r="37" spans="1:11" ht="22.5" customHeight="1" x14ac:dyDescent="0.2">
      <c r="A37" s="4">
        <v>9.3000000000000007</v>
      </c>
      <c r="B37" s="5" t="s">
        <v>1089</v>
      </c>
      <c r="C37" s="5" t="s">
        <v>1090</v>
      </c>
      <c r="D37" s="7" t="s">
        <v>27</v>
      </c>
      <c r="E37" s="6">
        <f t="shared" si="0"/>
        <v>16</v>
      </c>
    </row>
    <row r="38" spans="1:11" ht="22.5" customHeight="1" x14ac:dyDescent="0.2">
      <c r="A38" s="4">
        <v>9.4</v>
      </c>
      <c r="B38" s="5" t="s">
        <v>1091</v>
      </c>
      <c r="C38" s="5" t="s">
        <v>1092</v>
      </c>
      <c r="D38" s="7" t="s">
        <v>27</v>
      </c>
      <c r="E38" s="6">
        <f t="shared" si="0"/>
        <v>16</v>
      </c>
    </row>
    <row r="39" spans="1:11" ht="22.5" customHeight="1" x14ac:dyDescent="0.2">
      <c r="A39" s="4">
        <v>9.5</v>
      </c>
      <c r="B39" s="5" t="s">
        <v>1093</v>
      </c>
      <c r="C39" s="5" t="s">
        <v>1094</v>
      </c>
      <c r="D39" s="7" t="s">
        <v>27</v>
      </c>
      <c r="E39" s="6">
        <f t="shared" si="0"/>
        <v>16</v>
      </c>
    </row>
    <row r="40" spans="1:11" ht="22.5" customHeight="1" x14ac:dyDescent="0.2">
      <c r="A40" s="4">
        <v>9.6</v>
      </c>
      <c r="B40" s="5" t="s">
        <v>1095</v>
      </c>
      <c r="C40" s="5" t="s">
        <v>1096</v>
      </c>
      <c r="D40" s="7" t="s">
        <v>30</v>
      </c>
      <c r="E40" s="6">
        <f t="shared" si="0"/>
        <v>40</v>
      </c>
    </row>
    <row r="41" spans="1:11" ht="22.5" customHeight="1" x14ac:dyDescent="0.2">
      <c r="A41" s="4">
        <v>9.6999999999999993</v>
      </c>
      <c r="B41" s="5" t="s">
        <v>1097</v>
      </c>
      <c r="C41" s="5" t="s">
        <v>1098</v>
      </c>
      <c r="D41" s="7" t="s">
        <v>27</v>
      </c>
      <c r="E41" s="6">
        <f t="shared" si="0"/>
        <v>16</v>
      </c>
    </row>
    <row r="42" spans="1:11" ht="22.5" customHeight="1" x14ac:dyDescent="0.2">
      <c r="A42" s="4">
        <v>9.8000000000000007</v>
      </c>
      <c r="B42" s="5" t="s">
        <v>1099</v>
      </c>
      <c r="C42" s="5" t="s">
        <v>1100</v>
      </c>
      <c r="D42" s="7" t="s">
        <v>27</v>
      </c>
      <c r="E42" s="6">
        <f t="shared" si="0"/>
        <v>16</v>
      </c>
    </row>
    <row r="43" spans="1:11" ht="22.5" customHeight="1" x14ac:dyDescent="0.2">
      <c r="A43" s="4">
        <v>9.9</v>
      </c>
      <c r="B43" s="5" t="s">
        <v>1101</v>
      </c>
      <c r="C43" s="5" t="s">
        <v>1102</v>
      </c>
      <c r="D43" s="7" t="s">
        <v>30</v>
      </c>
      <c r="E43" s="6">
        <f t="shared" si="0"/>
        <v>40</v>
      </c>
    </row>
    <row r="44" spans="1:11" ht="22.5" customHeight="1" x14ac:dyDescent="0.2">
      <c r="A44" s="4">
        <v>10.1</v>
      </c>
      <c r="B44" s="5" t="s">
        <v>362</v>
      </c>
      <c r="C44" s="5" t="s">
        <v>1103</v>
      </c>
      <c r="D44" s="7" t="s">
        <v>27</v>
      </c>
      <c r="E44" s="6">
        <f t="shared" si="0"/>
        <v>16</v>
      </c>
    </row>
    <row r="45" spans="1:11" ht="22.5" customHeight="1" x14ac:dyDescent="0.2">
      <c r="A45" s="4">
        <v>10.199999999999999</v>
      </c>
      <c r="B45" s="5" t="s">
        <v>1104</v>
      </c>
      <c r="C45" s="5" t="s">
        <v>1105</v>
      </c>
      <c r="D45" s="7" t="s">
        <v>27</v>
      </c>
      <c r="E45" s="6">
        <f t="shared" si="0"/>
        <v>16</v>
      </c>
    </row>
    <row r="46" spans="1:11" ht="22.5" customHeight="1" x14ac:dyDescent="0.2">
      <c r="A46" s="4">
        <v>10.3</v>
      </c>
      <c r="B46" s="5" t="s">
        <v>1106</v>
      </c>
      <c r="C46" s="5" t="s">
        <v>1107</v>
      </c>
      <c r="D46" s="7" t="s">
        <v>27</v>
      </c>
      <c r="E46" s="6">
        <f t="shared" si="0"/>
        <v>16</v>
      </c>
    </row>
    <row r="47" spans="1:11" ht="22.5" customHeight="1" x14ac:dyDescent="0.2">
      <c r="A47" s="4">
        <v>10.4</v>
      </c>
      <c r="B47" s="5" t="s">
        <v>1108</v>
      </c>
      <c r="C47" s="5" t="s">
        <v>1109</v>
      </c>
      <c r="D47" s="7" t="s">
        <v>27</v>
      </c>
      <c r="E47" s="6">
        <f t="shared" si="0"/>
        <v>16</v>
      </c>
    </row>
    <row r="48" spans="1:11" ht="22.5" customHeight="1" x14ac:dyDescent="0.2">
      <c r="A48" s="4">
        <v>10.5</v>
      </c>
      <c r="B48" s="5" t="s">
        <v>1110</v>
      </c>
      <c r="C48" s="5" t="s">
        <v>1111</v>
      </c>
      <c r="D48" s="7" t="s">
        <v>30</v>
      </c>
      <c r="E48" s="6">
        <f t="shared" si="0"/>
        <v>40</v>
      </c>
    </row>
    <row r="49" spans="1:5" ht="22.5" customHeight="1" x14ac:dyDescent="0.2">
      <c r="A49" s="4">
        <v>11.1</v>
      </c>
      <c r="B49" s="5" t="s">
        <v>991</v>
      </c>
      <c r="C49" s="5" t="s">
        <v>992</v>
      </c>
      <c r="D49" s="7" t="s">
        <v>35</v>
      </c>
      <c r="E49" s="6">
        <f t="shared" si="0"/>
        <v>100</v>
      </c>
    </row>
    <row r="50" spans="1:5" ht="22.5" customHeight="1" x14ac:dyDescent="0.2">
      <c r="A50" s="4">
        <v>11.2</v>
      </c>
      <c r="B50" s="5" t="s">
        <v>1112</v>
      </c>
      <c r="C50" s="5" t="s">
        <v>1113</v>
      </c>
      <c r="D50" s="7" t="s">
        <v>30</v>
      </c>
      <c r="E50" s="6">
        <f t="shared" si="0"/>
        <v>40</v>
      </c>
    </row>
    <row r="51" spans="1:5" ht="22.5" customHeight="1" x14ac:dyDescent="0.2">
      <c r="A51" s="4">
        <v>11.3</v>
      </c>
      <c r="B51" s="5" t="s">
        <v>1114</v>
      </c>
      <c r="C51" s="5" t="s">
        <v>1115</v>
      </c>
      <c r="D51" s="7" t="s">
        <v>27</v>
      </c>
      <c r="E51" s="6">
        <f t="shared" si="0"/>
        <v>16</v>
      </c>
    </row>
    <row r="52" spans="1:5" ht="22.5" customHeight="1" x14ac:dyDescent="0.2">
      <c r="A52" s="4">
        <v>11.4</v>
      </c>
      <c r="B52" s="5" t="s">
        <v>995</v>
      </c>
      <c r="C52" s="5" t="s">
        <v>996</v>
      </c>
      <c r="D52" s="7" t="s">
        <v>30</v>
      </c>
      <c r="E52" s="6">
        <f t="shared" si="0"/>
        <v>40</v>
      </c>
    </row>
    <row r="53" spans="1:5" ht="22.5" customHeight="1" x14ac:dyDescent="0.2">
      <c r="A53" s="4">
        <v>11.5</v>
      </c>
      <c r="B53" s="5" t="s">
        <v>1116</v>
      </c>
      <c r="C53" s="5" t="s">
        <v>1117</v>
      </c>
      <c r="D53" s="7" t="s">
        <v>27</v>
      </c>
      <c r="E53" s="6">
        <f t="shared" si="0"/>
        <v>16</v>
      </c>
    </row>
    <row r="54" spans="1:5" ht="22.5" customHeight="1" x14ac:dyDescent="0.2">
      <c r="A54" s="4">
        <v>12.1</v>
      </c>
      <c r="B54" s="5" t="s">
        <v>1118</v>
      </c>
      <c r="C54" s="5" t="s">
        <v>1119</v>
      </c>
      <c r="D54" s="7" t="s">
        <v>27</v>
      </c>
      <c r="E54" s="6">
        <f t="shared" si="0"/>
        <v>16</v>
      </c>
    </row>
    <row r="55" spans="1:5" ht="22.5" customHeight="1" x14ac:dyDescent="0.2">
      <c r="A55" s="4">
        <v>12.2</v>
      </c>
      <c r="B55" s="5" t="s">
        <v>1120</v>
      </c>
      <c r="C55" s="5" t="s">
        <v>1121</v>
      </c>
      <c r="D55" s="7" t="s">
        <v>30</v>
      </c>
      <c r="E55" s="6">
        <f t="shared" si="0"/>
        <v>40</v>
      </c>
    </row>
    <row r="56" spans="1:5" ht="22.5" customHeight="1" x14ac:dyDescent="0.2">
      <c r="A56" s="4">
        <v>12.3</v>
      </c>
      <c r="B56" s="5" t="s">
        <v>1122</v>
      </c>
      <c r="C56" s="5" t="s">
        <v>1123</v>
      </c>
      <c r="D56" s="7" t="s">
        <v>30</v>
      </c>
      <c r="E56" s="6">
        <f t="shared" si="0"/>
        <v>40</v>
      </c>
    </row>
    <row r="57" spans="1:5" ht="22.5" customHeight="1" x14ac:dyDescent="0.2">
      <c r="A57" s="4">
        <v>12.4</v>
      </c>
      <c r="B57" s="5" t="s">
        <v>1124</v>
      </c>
      <c r="C57" s="5" t="s">
        <v>1125</v>
      </c>
      <c r="D57" s="7" t="s">
        <v>27</v>
      </c>
      <c r="E57" s="6">
        <f t="shared" si="0"/>
        <v>16</v>
      </c>
    </row>
    <row r="58" spans="1:5" ht="22.5" customHeight="1" x14ac:dyDescent="0.2">
      <c r="A58" s="4">
        <v>12.5</v>
      </c>
      <c r="B58" s="5" t="s">
        <v>1126</v>
      </c>
      <c r="C58" s="5" t="s">
        <v>1127</v>
      </c>
      <c r="D58" s="7" t="s">
        <v>27</v>
      </c>
      <c r="E58" s="6">
        <f t="shared" si="0"/>
        <v>16</v>
      </c>
    </row>
    <row r="59" spans="1:5" ht="22.5" customHeight="1" x14ac:dyDescent="0.2">
      <c r="A59" s="4">
        <v>12.6</v>
      </c>
      <c r="B59" s="5" t="s">
        <v>1128</v>
      </c>
      <c r="C59" s="5" t="s">
        <v>1129</v>
      </c>
      <c r="D59" s="7" t="s">
        <v>30</v>
      </c>
      <c r="E59" s="6">
        <f t="shared" si="0"/>
        <v>40</v>
      </c>
    </row>
    <row r="60" spans="1:5" ht="22.5" customHeight="1" x14ac:dyDescent="0.2">
      <c r="A60" s="4">
        <v>12.7</v>
      </c>
      <c r="B60" s="5" t="s">
        <v>1130</v>
      </c>
      <c r="C60" s="5" t="s">
        <v>1131</v>
      </c>
      <c r="D60" s="7" t="s">
        <v>30</v>
      </c>
      <c r="E60" s="6">
        <f t="shared" si="0"/>
        <v>40</v>
      </c>
    </row>
    <row r="61" spans="1:5" ht="22.5" customHeight="1" x14ac:dyDescent="0.2">
      <c r="A61" s="4">
        <v>12.8</v>
      </c>
      <c r="B61" s="5" t="s">
        <v>1132</v>
      </c>
      <c r="C61" s="5" t="s">
        <v>1133</v>
      </c>
      <c r="D61" s="7" t="s">
        <v>30</v>
      </c>
      <c r="E61" s="6">
        <f t="shared" si="0"/>
        <v>40</v>
      </c>
    </row>
    <row r="62" spans="1:5" ht="22.5" customHeight="1" x14ac:dyDescent="0.2">
      <c r="A62" s="4">
        <v>12.9</v>
      </c>
      <c r="B62" s="5" t="s">
        <v>1134</v>
      </c>
      <c r="C62" s="5" t="s">
        <v>1135</v>
      </c>
      <c r="D62" s="7" t="s">
        <v>30</v>
      </c>
      <c r="E62" s="6">
        <f t="shared" si="0"/>
        <v>40</v>
      </c>
    </row>
    <row r="63" spans="1:5" ht="22.5" customHeight="1" x14ac:dyDescent="0.2">
      <c r="A63" s="4">
        <v>12.1</v>
      </c>
      <c r="B63" s="5" t="s">
        <v>1136</v>
      </c>
      <c r="C63" s="5" t="s">
        <v>1137</v>
      </c>
      <c r="D63" s="7" t="s">
        <v>30</v>
      </c>
      <c r="E63" s="6">
        <f t="shared" si="0"/>
        <v>40</v>
      </c>
    </row>
    <row r="64" spans="1:5" ht="22.5" customHeight="1" x14ac:dyDescent="0.2">
      <c r="A64" s="4">
        <v>12.11</v>
      </c>
      <c r="B64" s="5" t="s">
        <v>1138</v>
      </c>
      <c r="C64" s="5" t="s">
        <v>1139</v>
      </c>
      <c r="D64" s="7" t="s">
        <v>35</v>
      </c>
      <c r="E64" s="6">
        <f t="shared" si="0"/>
        <v>100</v>
      </c>
    </row>
    <row r="65" spans="1:5" ht="22.5" customHeight="1" x14ac:dyDescent="0.2">
      <c r="A65" s="4">
        <v>12.12</v>
      </c>
      <c r="B65" s="5" t="s">
        <v>1140</v>
      </c>
      <c r="C65" s="5" t="s">
        <v>1141</v>
      </c>
      <c r="D65" s="7" t="s">
        <v>27</v>
      </c>
      <c r="E65" s="6">
        <f t="shared" si="0"/>
        <v>16</v>
      </c>
    </row>
    <row r="66" spans="1:5" ht="22.5" customHeight="1" x14ac:dyDescent="0.2">
      <c r="A66" s="4">
        <v>12.13</v>
      </c>
      <c r="B66" s="5" t="s">
        <v>1142</v>
      </c>
      <c r="C66" s="5" t="s">
        <v>1143</v>
      </c>
      <c r="D66" s="7" t="s">
        <v>30</v>
      </c>
      <c r="E66" s="6">
        <f t="shared" si="0"/>
        <v>40</v>
      </c>
    </row>
    <row r="67" spans="1:5" ht="22.5" customHeight="1" x14ac:dyDescent="0.2">
      <c r="A67" s="4">
        <v>12.14</v>
      </c>
      <c r="B67" s="5" t="s">
        <v>1144</v>
      </c>
      <c r="C67" s="5" t="s">
        <v>1145</v>
      </c>
      <c r="D67" s="7" t="s">
        <v>27</v>
      </c>
      <c r="E67" s="6">
        <f t="shared" si="0"/>
        <v>16</v>
      </c>
    </row>
    <row r="68" spans="1:5" ht="22.5" customHeight="1" x14ac:dyDescent="0.2">
      <c r="A68" s="4">
        <v>12.15</v>
      </c>
      <c r="B68" s="5" t="s">
        <v>1146</v>
      </c>
      <c r="C68" s="5" t="s">
        <v>1147</v>
      </c>
      <c r="D68" s="7" t="s">
        <v>27</v>
      </c>
      <c r="E68" s="6">
        <f t="shared" si="0"/>
        <v>16</v>
      </c>
    </row>
    <row r="69" spans="1:5" ht="22.5" customHeight="1" x14ac:dyDescent="0.2">
      <c r="A69" s="4">
        <v>12.16</v>
      </c>
      <c r="B69" s="5" t="s">
        <v>1148</v>
      </c>
      <c r="C69" s="5" t="s">
        <v>1149</v>
      </c>
      <c r="D69" s="7" t="s">
        <v>30</v>
      </c>
      <c r="E69" s="6">
        <f t="shared" si="0"/>
        <v>40</v>
      </c>
    </row>
    <row r="70" spans="1:5" ht="22.5" customHeight="1" x14ac:dyDescent="0.2">
      <c r="A70" s="4">
        <v>12.17</v>
      </c>
      <c r="B70" s="5" t="s">
        <v>1150</v>
      </c>
      <c r="C70" s="5" t="s">
        <v>1151</v>
      </c>
      <c r="D70" s="7" t="s">
        <v>27</v>
      </c>
      <c r="E70" s="6">
        <f t="shared" si="0"/>
        <v>16</v>
      </c>
    </row>
    <row r="71" spans="1:5" ht="22.5" customHeight="1" x14ac:dyDescent="0.2">
      <c r="A71" s="4">
        <v>12.18</v>
      </c>
      <c r="B71" s="5" t="s">
        <v>1152</v>
      </c>
      <c r="C71" s="5" t="s">
        <v>1153</v>
      </c>
      <c r="D71" s="7" t="s">
        <v>30</v>
      </c>
      <c r="E71" s="6">
        <f t="shared" si="0"/>
        <v>40</v>
      </c>
    </row>
    <row r="72" spans="1:5" ht="22.5" customHeight="1" x14ac:dyDescent="0.2">
      <c r="A72" s="4">
        <v>12.19</v>
      </c>
      <c r="B72" s="5" t="s">
        <v>1154</v>
      </c>
      <c r="C72" s="5" t="s">
        <v>1155</v>
      </c>
      <c r="D72" s="7" t="s">
        <v>27</v>
      </c>
      <c r="E72" s="6">
        <f t="shared" si="0"/>
        <v>16</v>
      </c>
    </row>
    <row r="73" spans="1:5" ht="22.5" customHeight="1" x14ac:dyDescent="0.2">
      <c r="A73" s="4">
        <v>12.2</v>
      </c>
      <c r="B73" s="5" t="s">
        <v>1156</v>
      </c>
      <c r="C73" s="5" t="s">
        <v>1157</v>
      </c>
      <c r="D73" s="7" t="s">
        <v>30</v>
      </c>
      <c r="E73" s="6">
        <f t="shared" si="0"/>
        <v>40</v>
      </c>
    </row>
    <row r="74" spans="1:5" ht="22.5" customHeight="1" x14ac:dyDescent="0.2">
      <c r="A74" s="4">
        <v>12.21</v>
      </c>
      <c r="B74" s="5" t="s">
        <v>1158</v>
      </c>
      <c r="C74" s="5" t="s">
        <v>1159</v>
      </c>
      <c r="D74" s="7" t="s">
        <v>27</v>
      </c>
      <c r="E74" s="6">
        <f t="shared" si="0"/>
        <v>16</v>
      </c>
    </row>
    <row r="75" spans="1:5" ht="22.5" customHeight="1" x14ac:dyDescent="0.2">
      <c r="A75" s="4">
        <v>12.22</v>
      </c>
      <c r="B75" s="5" t="s">
        <v>1160</v>
      </c>
      <c r="C75" s="5" t="s">
        <v>1161</v>
      </c>
      <c r="D75" s="7" t="s">
        <v>27</v>
      </c>
      <c r="E75" s="6">
        <f t="shared" si="0"/>
        <v>16</v>
      </c>
    </row>
    <row r="76" spans="1:5" ht="22.5" customHeight="1" x14ac:dyDescent="0.2">
      <c r="A76" s="4">
        <v>12.23</v>
      </c>
      <c r="B76" s="5" t="s">
        <v>1162</v>
      </c>
      <c r="C76" s="5" t="s">
        <v>1163</v>
      </c>
      <c r="D76" s="7" t="s">
        <v>27</v>
      </c>
      <c r="E76" s="6">
        <f t="shared" si="0"/>
        <v>16</v>
      </c>
    </row>
    <row r="77" spans="1:5" ht="22.5" customHeight="1" x14ac:dyDescent="0.2">
      <c r="A77" s="4">
        <v>12.24</v>
      </c>
      <c r="B77" s="5" t="s">
        <v>1164</v>
      </c>
      <c r="C77" s="5" t="s">
        <v>1165</v>
      </c>
      <c r="D77" s="7" t="s">
        <v>27</v>
      </c>
      <c r="E77" s="6">
        <f t="shared" si="0"/>
        <v>16</v>
      </c>
    </row>
    <row r="78" spans="1:5" ht="22.5" customHeight="1" x14ac:dyDescent="0.2">
      <c r="A78" s="4">
        <v>12.25</v>
      </c>
      <c r="B78" s="5" t="s">
        <v>1166</v>
      </c>
      <c r="C78" s="5" t="s">
        <v>1167</v>
      </c>
      <c r="D78" s="7" t="s">
        <v>30</v>
      </c>
      <c r="E78" s="6">
        <f t="shared" si="0"/>
        <v>40</v>
      </c>
    </row>
    <row r="79" spans="1:5" ht="22.5" customHeight="1" x14ac:dyDescent="0.2">
      <c r="A79" s="4">
        <v>12.26</v>
      </c>
      <c r="B79" s="5" t="s">
        <v>1168</v>
      </c>
      <c r="C79" s="5" t="s">
        <v>1169</v>
      </c>
      <c r="D79" s="7" t="s">
        <v>27</v>
      </c>
      <c r="E79" s="6">
        <f t="shared" si="0"/>
        <v>16</v>
      </c>
    </row>
    <row r="80" spans="1:5" ht="22.5" customHeight="1" x14ac:dyDescent="0.2">
      <c r="A80" s="4">
        <v>13.1</v>
      </c>
      <c r="B80" s="5" t="s">
        <v>1170</v>
      </c>
      <c r="C80" s="5" t="s">
        <v>1171</v>
      </c>
      <c r="D80" s="7" t="s">
        <v>30</v>
      </c>
      <c r="E80" s="6">
        <f t="shared" si="0"/>
        <v>40</v>
      </c>
    </row>
    <row r="81" spans="1:5" ht="22.5" customHeight="1" x14ac:dyDescent="0.2">
      <c r="A81" s="4">
        <v>13.2</v>
      </c>
      <c r="B81" s="5" t="s">
        <v>1172</v>
      </c>
      <c r="C81" s="5" t="s">
        <v>1173</v>
      </c>
      <c r="D81" s="7" t="s">
        <v>30</v>
      </c>
      <c r="E81" s="6">
        <f t="shared" si="0"/>
        <v>40</v>
      </c>
    </row>
    <row r="82" spans="1:5" ht="22.5" customHeight="1" x14ac:dyDescent="0.2">
      <c r="A82" s="4">
        <v>13.3</v>
      </c>
      <c r="B82" s="5" t="s">
        <v>1174</v>
      </c>
      <c r="C82" s="5" t="s">
        <v>1175</v>
      </c>
      <c r="D82" s="7" t="s">
        <v>35</v>
      </c>
      <c r="E82" s="6">
        <f t="shared" si="0"/>
        <v>100</v>
      </c>
    </row>
    <row r="83" spans="1:5" ht="22.5" customHeight="1" x14ac:dyDescent="0.2">
      <c r="A83" s="4">
        <v>13.4</v>
      </c>
      <c r="B83" s="5" t="s">
        <v>997</v>
      </c>
      <c r="C83" s="5" t="s">
        <v>998</v>
      </c>
      <c r="D83" s="7" t="s">
        <v>30</v>
      </c>
      <c r="E83" s="6">
        <f t="shared" si="0"/>
        <v>40</v>
      </c>
    </row>
    <row r="84" spans="1:5" ht="22.5" customHeight="1" x14ac:dyDescent="0.2">
      <c r="A84" s="4">
        <v>13.5</v>
      </c>
      <c r="B84" s="5" t="s">
        <v>1176</v>
      </c>
      <c r="C84" s="5" t="s">
        <v>1177</v>
      </c>
      <c r="D84" s="7" t="s">
        <v>30</v>
      </c>
      <c r="E84" s="6">
        <f t="shared" si="0"/>
        <v>40</v>
      </c>
    </row>
    <row r="85" spans="1:5" ht="22.5" customHeight="1" x14ac:dyDescent="0.2">
      <c r="A85" s="4">
        <v>14.1</v>
      </c>
      <c r="B85" s="5" t="s">
        <v>1178</v>
      </c>
      <c r="C85" s="5" t="s">
        <v>1179</v>
      </c>
      <c r="D85" s="7" t="s">
        <v>30</v>
      </c>
      <c r="E85" s="6">
        <f t="shared" si="0"/>
        <v>40</v>
      </c>
    </row>
    <row r="86" spans="1:5" ht="22.5" customHeight="1" x14ac:dyDescent="0.2">
      <c r="A86" s="4">
        <v>14.2</v>
      </c>
      <c r="B86" s="5" t="s">
        <v>1180</v>
      </c>
      <c r="C86" s="5" t="s">
        <v>1181</v>
      </c>
      <c r="D86" s="7" t="s">
        <v>27</v>
      </c>
      <c r="E86" s="6">
        <f t="shared" si="0"/>
        <v>16</v>
      </c>
    </row>
    <row r="87" spans="1:5" ht="22.5" customHeight="1" x14ac:dyDescent="0.2">
      <c r="A87" s="4">
        <v>15.1</v>
      </c>
      <c r="B87" s="5" t="s">
        <v>1182</v>
      </c>
      <c r="C87" s="5" t="s">
        <v>1183</v>
      </c>
      <c r="D87" s="7" t="s">
        <v>27</v>
      </c>
      <c r="E87" s="6">
        <f t="shared" si="0"/>
        <v>16</v>
      </c>
    </row>
    <row r="88" spans="1:5" ht="22.5" customHeight="1" x14ac:dyDescent="0.2">
      <c r="A88" s="4">
        <v>15.2</v>
      </c>
      <c r="B88" s="5" t="s">
        <v>1184</v>
      </c>
      <c r="C88" s="5" t="s">
        <v>1185</v>
      </c>
      <c r="D88" s="7" t="s">
        <v>30</v>
      </c>
      <c r="E88" s="6">
        <f t="shared" si="0"/>
        <v>40</v>
      </c>
    </row>
    <row r="89" spans="1:5" ht="22.5" customHeight="1" x14ac:dyDescent="0.2">
      <c r="A89" s="4">
        <v>15.3</v>
      </c>
      <c r="B89" s="5" t="s">
        <v>1186</v>
      </c>
      <c r="C89" s="5" t="s">
        <v>1187</v>
      </c>
      <c r="D89" s="7" t="s">
        <v>30</v>
      </c>
      <c r="E89" s="6">
        <f t="shared" si="0"/>
        <v>40</v>
      </c>
    </row>
    <row r="90" spans="1:5" ht="22.5" customHeight="1" x14ac:dyDescent="0.2">
      <c r="A90" s="4">
        <v>15.4</v>
      </c>
      <c r="B90" s="5" t="s">
        <v>1188</v>
      </c>
      <c r="C90" s="5" t="s">
        <v>1189</v>
      </c>
      <c r="D90" s="7" t="s">
        <v>30</v>
      </c>
      <c r="E90" s="6">
        <f t="shared" si="0"/>
        <v>40</v>
      </c>
    </row>
    <row r="91" spans="1:5" ht="22.5" customHeight="1" x14ac:dyDescent="0.2">
      <c r="A91" s="4">
        <v>15.5</v>
      </c>
      <c r="B91" s="5" t="s">
        <v>1190</v>
      </c>
      <c r="C91" s="5" t="s">
        <v>1191</v>
      </c>
      <c r="D91" s="7" t="s">
        <v>27</v>
      </c>
      <c r="E91" s="6">
        <f t="shared" si="0"/>
        <v>16</v>
      </c>
    </row>
    <row r="92" spans="1:5" ht="22.5" customHeight="1" x14ac:dyDescent="0.2">
      <c r="A92" s="4">
        <v>15.6</v>
      </c>
      <c r="B92" s="5" t="s">
        <v>1192</v>
      </c>
      <c r="C92" s="5" t="s">
        <v>1193</v>
      </c>
      <c r="D92" s="7" t="s">
        <v>35</v>
      </c>
      <c r="E92" s="6">
        <f t="shared" si="0"/>
        <v>100</v>
      </c>
    </row>
    <row r="93" spans="1:5" ht="22.5" customHeight="1" x14ac:dyDescent="0.2">
      <c r="A93" s="4">
        <v>15.7</v>
      </c>
      <c r="B93" s="5" t="s">
        <v>1001</v>
      </c>
      <c r="C93" s="5" t="s">
        <v>1002</v>
      </c>
      <c r="D93" s="7" t="s">
        <v>27</v>
      </c>
      <c r="E93" s="6">
        <f t="shared" si="0"/>
        <v>16</v>
      </c>
    </row>
    <row r="94" spans="1:5" ht="22.5" customHeight="1" x14ac:dyDescent="0.2">
      <c r="A94" s="4">
        <v>15.8</v>
      </c>
      <c r="B94" s="5" t="s">
        <v>1194</v>
      </c>
      <c r="C94" s="5" t="s">
        <v>1195</v>
      </c>
      <c r="D94" s="7" t="s">
        <v>30</v>
      </c>
      <c r="E94" s="6">
        <f t="shared" si="0"/>
        <v>40</v>
      </c>
    </row>
    <row r="95" spans="1:5" ht="22.5" customHeight="1" x14ac:dyDescent="0.2">
      <c r="A95" s="4">
        <v>15.9</v>
      </c>
      <c r="B95" s="5" t="s">
        <v>1005</v>
      </c>
      <c r="C95" s="5" t="s">
        <v>1006</v>
      </c>
      <c r="D95" s="7" t="s">
        <v>27</v>
      </c>
      <c r="E95" s="6">
        <f t="shared" si="0"/>
        <v>16</v>
      </c>
    </row>
    <row r="96" spans="1:5" ht="22.5" customHeight="1" x14ac:dyDescent="0.2">
      <c r="A96" s="4">
        <v>15.1</v>
      </c>
      <c r="B96" s="5" t="s">
        <v>1196</v>
      </c>
      <c r="C96" s="5" t="s">
        <v>1197</v>
      </c>
      <c r="D96" s="7" t="s">
        <v>30</v>
      </c>
      <c r="E96" s="6">
        <f t="shared" si="0"/>
        <v>40</v>
      </c>
    </row>
    <row r="97" spans="1:5" ht="22.5" customHeight="1" x14ac:dyDescent="0.2">
      <c r="A97" s="4">
        <v>15.11</v>
      </c>
      <c r="B97" s="5" t="s">
        <v>1198</v>
      </c>
      <c r="C97" s="5" t="s">
        <v>1199</v>
      </c>
      <c r="D97" s="7" t="s">
        <v>30</v>
      </c>
      <c r="E97" s="6">
        <f t="shared" si="0"/>
        <v>40</v>
      </c>
    </row>
    <row r="98" spans="1:5" ht="22.5" customHeight="1" x14ac:dyDescent="0.2">
      <c r="A98" s="4">
        <v>15.12</v>
      </c>
      <c r="B98" s="5" t="s">
        <v>1200</v>
      </c>
      <c r="C98" s="5" t="s">
        <v>1201</v>
      </c>
      <c r="D98" s="7" t="s">
        <v>30</v>
      </c>
      <c r="E98" s="6">
        <f t="shared" si="0"/>
        <v>40</v>
      </c>
    </row>
    <row r="99" spans="1:5" ht="22.5" customHeight="1" x14ac:dyDescent="0.2">
      <c r="A99" s="4">
        <v>15.13</v>
      </c>
      <c r="B99" s="5" t="s">
        <v>1202</v>
      </c>
      <c r="C99" s="5" t="s">
        <v>1203</v>
      </c>
      <c r="D99" s="7" t="s">
        <v>30</v>
      </c>
      <c r="E99" s="6">
        <f t="shared" si="0"/>
        <v>40</v>
      </c>
    </row>
    <row r="100" spans="1:5" ht="22.5" customHeight="1" x14ac:dyDescent="0.2">
      <c r="A100" s="4">
        <v>15.14</v>
      </c>
      <c r="B100" s="5" t="s">
        <v>1204</v>
      </c>
      <c r="C100" s="5" t="s">
        <v>1205</v>
      </c>
      <c r="D100" s="7" t="s">
        <v>30</v>
      </c>
      <c r="E100" s="6">
        <f t="shared" si="0"/>
        <v>40</v>
      </c>
    </row>
    <row r="101" spans="1:5" ht="22.5" customHeight="1" x14ac:dyDescent="0.2">
      <c r="A101" s="4">
        <v>15.15</v>
      </c>
      <c r="B101" s="5" t="s">
        <v>1206</v>
      </c>
      <c r="C101" s="5" t="s">
        <v>1207</v>
      </c>
      <c r="D101" s="7" t="s">
        <v>30</v>
      </c>
      <c r="E101" s="6">
        <f t="shared" si="0"/>
        <v>40</v>
      </c>
    </row>
    <row r="102" spans="1:5" ht="22.5" customHeight="1" x14ac:dyDescent="0.2">
      <c r="A102" s="4">
        <v>15.16</v>
      </c>
      <c r="B102" s="5" t="s">
        <v>1208</v>
      </c>
      <c r="C102" s="5" t="s">
        <v>1209</v>
      </c>
      <c r="D102" s="7" t="s">
        <v>27</v>
      </c>
      <c r="E102" s="6">
        <f t="shared" si="0"/>
        <v>16</v>
      </c>
    </row>
    <row r="103" spans="1:5" ht="22.5" customHeight="1" x14ac:dyDescent="0.2">
      <c r="A103" s="4">
        <v>15.17</v>
      </c>
      <c r="B103" s="5" t="s">
        <v>1210</v>
      </c>
      <c r="C103" s="5" t="s">
        <v>1211</v>
      </c>
      <c r="D103" s="7" t="s">
        <v>35</v>
      </c>
      <c r="E103" s="6">
        <f t="shared" si="0"/>
        <v>100</v>
      </c>
    </row>
    <row r="104" spans="1:5" ht="22.5" customHeight="1" x14ac:dyDescent="0.2">
      <c r="A104" s="4">
        <v>15.18</v>
      </c>
      <c r="B104" s="5" t="s">
        <v>1212</v>
      </c>
      <c r="C104" s="5" t="s">
        <v>1213</v>
      </c>
      <c r="D104" s="7" t="s">
        <v>27</v>
      </c>
      <c r="E104" s="6">
        <f t="shared" si="0"/>
        <v>16</v>
      </c>
    </row>
    <row r="105" spans="1:5" ht="22.5" customHeight="1" x14ac:dyDescent="0.2">
      <c r="A105" s="4">
        <v>15.19</v>
      </c>
      <c r="B105" s="5" t="s">
        <v>1214</v>
      </c>
      <c r="C105" s="5" t="s">
        <v>1215</v>
      </c>
      <c r="D105" s="7" t="s">
        <v>30</v>
      </c>
      <c r="E105" s="6">
        <f t="shared" si="0"/>
        <v>40</v>
      </c>
    </row>
    <row r="106" spans="1:5" ht="22.5" customHeight="1" x14ac:dyDescent="0.2">
      <c r="A106" s="4">
        <v>15.2</v>
      </c>
      <c r="B106" s="5" t="s">
        <v>1216</v>
      </c>
      <c r="C106" s="5" t="s">
        <v>1217</v>
      </c>
      <c r="D106" s="7" t="s">
        <v>27</v>
      </c>
      <c r="E106" s="6">
        <f t="shared" si="0"/>
        <v>16</v>
      </c>
    </row>
    <row r="107" spans="1:5" ht="22.5" customHeight="1" x14ac:dyDescent="0.2">
      <c r="A107" s="4">
        <v>15.21</v>
      </c>
      <c r="B107" s="5" t="s">
        <v>1218</v>
      </c>
      <c r="C107" s="5" t="s">
        <v>1219</v>
      </c>
      <c r="D107" s="7" t="s">
        <v>30</v>
      </c>
      <c r="E107" s="6">
        <f t="shared" si="0"/>
        <v>40</v>
      </c>
    </row>
    <row r="108" spans="1:5" ht="22.5" customHeight="1" x14ac:dyDescent="0.2">
      <c r="A108" s="4">
        <v>15.22</v>
      </c>
      <c r="B108" s="5" t="s">
        <v>1220</v>
      </c>
      <c r="C108" s="5" t="s">
        <v>1221</v>
      </c>
      <c r="D108" s="7" t="s">
        <v>30</v>
      </c>
      <c r="E108" s="6">
        <f t="shared" si="0"/>
        <v>40</v>
      </c>
    </row>
    <row r="109" spans="1:5" ht="22.5" customHeight="1" x14ac:dyDescent="0.2">
      <c r="A109" s="4">
        <v>15.23</v>
      </c>
      <c r="B109" s="5" t="s">
        <v>1222</v>
      </c>
      <c r="C109" s="5" t="s">
        <v>1223</v>
      </c>
      <c r="D109" s="7" t="s">
        <v>30</v>
      </c>
      <c r="E109" s="6">
        <f t="shared" si="0"/>
        <v>40</v>
      </c>
    </row>
    <row r="110" spans="1:5" ht="22.5" customHeight="1" x14ac:dyDescent="0.2">
      <c r="A110" s="4">
        <v>16.100000000000001</v>
      </c>
      <c r="B110" s="5" t="s">
        <v>1009</v>
      </c>
      <c r="C110" s="5" t="s">
        <v>1010</v>
      </c>
      <c r="D110" s="7" t="s">
        <v>30</v>
      </c>
      <c r="E110" s="6">
        <f t="shared" si="0"/>
        <v>40</v>
      </c>
    </row>
    <row r="111" spans="1:5" ht="22.5" customHeight="1" x14ac:dyDescent="0.2">
      <c r="A111" s="4">
        <v>16.2</v>
      </c>
      <c r="B111" s="5" t="s">
        <v>1013</v>
      </c>
      <c r="C111" s="5" t="s">
        <v>1014</v>
      </c>
      <c r="D111" s="7" t="s">
        <v>35</v>
      </c>
      <c r="E111" s="6">
        <f t="shared" si="0"/>
        <v>100</v>
      </c>
    </row>
    <row r="112" spans="1:5" ht="22.5" customHeight="1" x14ac:dyDescent="0.2">
      <c r="A112" s="4">
        <v>16.3</v>
      </c>
      <c r="B112" s="5" t="s">
        <v>1017</v>
      </c>
      <c r="C112" s="5" t="s">
        <v>1018</v>
      </c>
      <c r="D112" s="7" t="s">
        <v>35</v>
      </c>
      <c r="E112" s="6">
        <f t="shared" si="0"/>
        <v>100</v>
      </c>
    </row>
    <row r="113" spans="1:5" ht="22.5" customHeight="1" x14ac:dyDescent="0.2">
      <c r="A113" s="4">
        <v>16.399999999999999</v>
      </c>
      <c r="B113" s="5" t="s">
        <v>1224</v>
      </c>
      <c r="C113" s="5" t="s">
        <v>1225</v>
      </c>
      <c r="D113" s="7" t="s">
        <v>27</v>
      </c>
      <c r="E113" s="6">
        <f t="shared" si="0"/>
        <v>16</v>
      </c>
    </row>
    <row r="114" spans="1:5" ht="22.5" customHeight="1" x14ac:dyDescent="0.2">
      <c r="A114" s="4">
        <v>16.5</v>
      </c>
      <c r="B114" s="5" t="s">
        <v>1226</v>
      </c>
      <c r="C114" s="5" t="s">
        <v>1227</v>
      </c>
      <c r="D114" s="7" t="s">
        <v>27</v>
      </c>
      <c r="E114" s="6">
        <f t="shared" si="0"/>
        <v>16</v>
      </c>
    </row>
    <row r="115" spans="1:5" ht="22.5" customHeight="1" x14ac:dyDescent="0.2">
      <c r="A115" s="4">
        <v>16.600000000000001</v>
      </c>
      <c r="B115" s="5" t="s">
        <v>1021</v>
      </c>
      <c r="C115" s="5" t="s">
        <v>1022</v>
      </c>
      <c r="D115" s="7" t="s">
        <v>30</v>
      </c>
      <c r="E115" s="6">
        <f t="shared" si="0"/>
        <v>40</v>
      </c>
    </row>
    <row r="116" spans="1:5" ht="22.5" customHeight="1" x14ac:dyDescent="0.2">
      <c r="A116" s="4">
        <v>16.7</v>
      </c>
      <c r="B116" s="5" t="s">
        <v>1228</v>
      </c>
      <c r="C116" s="5" t="s">
        <v>1229</v>
      </c>
      <c r="D116" s="7" t="s">
        <v>27</v>
      </c>
      <c r="E116" s="6">
        <f t="shared" si="0"/>
        <v>16</v>
      </c>
    </row>
    <row r="117" spans="1:5" ht="22.5" customHeight="1" x14ac:dyDescent="0.2">
      <c r="A117" s="4">
        <v>16.8</v>
      </c>
      <c r="B117" s="5" t="s">
        <v>1230</v>
      </c>
      <c r="C117" s="5" t="s">
        <v>1231</v>
      </c>
      <c r="D117" s="7" t="s">
        <v>30</v>
      </c>
      <c r="E117" s="6">
        <f t="shared" si="0"/>
        <v>40</v>
      </c>
    </row>
    <row r="118" spans="1:5" ht="22.5" customHeight="1" x14ac:dyDescent="0.2">
      <c r="A118" s="4">
        <v>16.899999999999999</v>
      </c>
      <c r="B118" s="5" t="s">
        <v>1025</v>
      </c>
      <c r="C118" s="5" t="s">
        <v>1026</v>
      </c>
      <c r="D118" s="7" t="s">
        <v>35</v>
      </c>
      <c r="E118" s="6">
        <f t="shared" si="0"/>
        <v>100</v>
      </c>
    </row>
    <row r="119" spans="1:5" ht="22.5" customHeight="1" x14ac:dyDescent="0.2">
      <c r="A119" s="4">
        <v>17.100000000000001</v>
      </c>
      <c r="B119" s="5" t="s">
        <v>1232</v>
      </c>
      <c r="C119" s="5" t="s">
        <v>1233</v>
      </c>
      <c r="D119" s="7" t="s">
        <v>30</v>
      </c>
      <c r="E119" s="6">
        <f t="shared" si="0"/>
        <v>40</v>
      </c>
    </row>
    <row r="120" spans="1:5" ht="22.5" customHeight="1" x14ac:dyDescent="0.2">
      <c r="A120" s="4">
        <v>18.100000000000001</v>
      </c>
      <c r="B120" s="5" t="s">
        <v>1234</v>
      </c>
      <c r="C120" s="5" t="s">
        <v>1235</v>
      </c>
      <c r="D120" s="7" t="s">
        <v>27</v>
      </c>
      <c r="E120" s="6">
        <f t="shared" si="0"/>
        <v>16</v>
      </c>
    </row>
    <row r="121" spans="1:5" ht="22.5" customHeight="1" x14ac:dyDescent="0.2">
      <c r="A121" s="4">
        <v>18.2</v>
      </c>
      <c r="B121" s="5" t="s">
        <v>1236</v>
      </c>
      <c r="C121" s="5" t="s">
        <v>1237</v>
      </c>
      <c r="D121" s="7" t="s">
        <v>30</v>
      </c>
      <c r="E121" s="6">
        <f t="shared" si="0"/>
        <v>40</v>
      </c>
    </row>
    <row r="122" spans="1:5" ht="22.5" customHeight="1" x14ac:dyDescent="0.2">
      <c r="A122" s="4">
        <v>18.3</v>
      </c>
      <c r="B122" s="5" t="s">
        <v>1238</v>
      </c>
      <c r="C122" s="5" t="s">
        <v>1239</v>
      </c>
      <c r="D122" s="7" t="s">
        <v>30</v>
      </c>
      <c r="E122" s="6">
        <f t="shared" si="0"/>
        <v>40</v>
      </c>
    </row>
    <row r="123" spans="1:5" ht="22.5" customHeight="1" x14ac:dyDescent="0.2">
      <c r="A123" s="4">
        <v>18.399999999999999</v>
      </c>
      <c r="B123" s="5" t="s">
        <v>1240</v>
      </c>
      <c r="C123" s="5" t="s">
        <v>1241</v>
      </c>
      <c r="D123" s="7" t="s">
        <v>30</v>
      </c>
      <c r="E123" s="6">
        <f t="shared" si="0"/>
        <v>40</v>
      </c>
    </row>
    <row r="124" spans="1:5" ht="22.5" customHeight="1" x14ac:dyDescent="0.2">
      <c r="A124" s="4">
        <v>18.5</v>
      </c>
      <c r="B124" s="5" t="s">
        <v>1242</v>
      </c>
      <c r="C124" s="5" t="s">
        <v>1243</v>
      </c>
      <c r="D124" s="7" t="s">
        <v>30</v>
      </c>
      <c r="E124" s="6">
        <f t="shared" si="0"/>
        <v>40</v>
      </c>
    </row>
    <row r="125" spans="1:5" ht="22.5" customHeight="1" x14ac:dyDescent="0.2">
      <c r="A125" s="4">
        <v>18.600000000000001</v>
      </c>
      <c r="B125" s="5" t="s">
        <v>1029</v>
      </c>
      <c r="C125" s="5" t="s">
        <v>1030</v>
      </c>
      <c r="D125" s="7" t="s">
        <v>27</v>
      </c>
      <c r="E125" s="6">
        <f t="shared" si="0"/>
        <v>16</v>
      </c>
    </row>
    <row r="126" spans="1:5" ht="22.5" customHeight="1" x14ac:dyDescent="0.2">
      <c r="A126" s="4">
        <v>18.7</v>
      </c>
      <c r="B126" s="5" t="s">
        <v>1033</v>
      </c>
      <c r="C126" s="5" t="s">
        <v>1034</v>
      </c>
      <c r="D126" s="7" t="s">
        <v>27</v>
      </c>
      <c r="E126" s="6">
        <f t="shared" si="0"/>
        <v>16</v>
      </c>
    </row>
    <row r="127" spans="1:5" ht="22.5" customHeight="1" x14ac:dyDescent="0.2">
      <c r="A127" s="4">
        <v>18.8</v>
      </c>
      <c r="B127" s="5" t="s">
        <v>1244</v>
      </c>
      <c r="C127" s="5" t="s">
        <v>1245</v>
      </c>
      <c r="D127" s="7" t="s">
        <v>30</v>
      </c>
      <c r="E127" s="6">
        <f t="shared" si="0"/>
        <v>40</v>
      </c>
    </row>
    <row r="128" spans="1:5" ht="22.5" customHeight="1" x14ac:dyDescent="0.2">
      <c r="A128" s="4">
        <v>18.899999999999999</v>
      </c>
      <c r="B128" s="5" t="s">
        <v>1246</v>
      </c>
      <c r="C128" s="5" t="s">
        <v>1247</v>
      </c>
      <c r="D128" s="7" t="s">
        <v>27</v>
      </c>
      <c r="E128" s="6">
        <f t="shared" si="0"/>
        <v>16</v>
      </c>
    </row>
    <row r="129" spans="1:5" ht="22.5" customHeight="1" x14ac:dyDescent="0.2">
      <c r="A129" s="4">
        <v>18.100000000000001</v>
      </c>
      <c r="B129" s="5" t="s">
        <v>1248</v>
      </c>
      <c r="C129" s="5" t="s">
        <v>1249</v>
      </c>
      <c r="D129" s="7" t="s">
        <v>27</v>
      </c>
      <c r="E129" s="6">
        <f t="shared" si="0"/>
        <v>16</v>
      </c>
    </row>
    <row r="130" spans="1:5" ht="22.5" customHeight="1" x14ac:dyDescent="0.2">
      <c r="A130" s="4">
        <v>18.11</v>
      </c>
      <c r="B130" s="5" t="s">
        <v>1250</v>
      </c>
      <c r="C130" s="5" t="s">
        <v>1251</v>
      </c>
      <c r="D130" s="7" t="s">
        <v>27</v>
      </c>
      <c r="E130" s="6">
        <f t="shared" si="0"/>
        <v>16</v>
      </c>
    </row>
    <row r="131" spans="1:5" ht="22.5" customHeight="1" x14ac:dyDescent="0.2">
      <c r="A131" s="4">
        <v>18.12</v>
      </c>
      <c r="B131" s="5" t="s">
        <v>1252</v>
      </c>
      <c r="C131" s="5" t="s">
        <v>1253</v>
      </c>
      <c r="D131" s="7" t="s">
        <v>27</v>
      </c>
      <c r="E131" s="6">
        <f t="shared" si="0"/>
        <v>16</v>
      </c>
    </row>
    <row r="132" spans="1:5" ht="22.5" customHeight="1" x14ac:dyDescent="0.2">
      <c r="A132" s="4">
        <v>18.13</v>
      </c>
      <c r="B132" s="5" t="s">
        <v>1254</v>
      </c>
      <c r="C132" s="5" t="s">
        <v>1255</v>
      </c>
      <c r="D132" s="7" t="s">
        <v>35</v>
      </c>
      <c r="E132" s="6">
        <f t="shared" si="0"/>
        <v>100</v>
      </c>
    </row>
    <row r="133" spans="1:5" ht="22.5" customHeight="1" x14ac:dyDescent="0.2">
      <c r="A133" s="4">
        <v>18.14</v>
      </c>
      <c r="B133" s="5" t="s">
        <v>1256</v>
      </c>
      <c r="C133" s="5" t="s">
        <v>1257</v>
      </c>
      <c r="D133" s="7" t="s">
        <v>27</v>
      </c>
      <c r="E133" s="6">
        <f t="shared" si="0"/>
        <v>16</v>
      </c>
    </row>
    <row r="134" spans="1:5" ht="22.5" customHeight="1" x14ac:dyDescent="0.2">
      <c r="A134" s="4">
        <v>18.149999999999999</v>
      </c>
      <c r="B134" s="5" t="s">
        <v>1258</v>
      </c>
      <c r="C134" s="5" t="s">
        <v>1259</v>
      </c>
      <c r="D134" s="7" t="s">
        <v>30</v>
      </c>
      <c r="E134" s="6">
        <f t="shared" si="0"/>
        <v>40</v>
      </c>
    </row>
    <row r="135" spans="1:5" ht="22.5" customHeight="1" x14ac:dyDescent="0.2">
      <c r="A135" s="4">
        <v>18.16</v>
      </c>
      <c r="B135" s="5" t="s">
        <v>1037</v>
      </c>
      <c r="C135" s="5" t="s">
        <v>1038</v>
      </c>
      <c r="D135" s="7" t="s">
        <v>27</v>
      </c>
      <c r="E135" s="6">
        <f t="shared" si="0"/>
        <v>16</v>
      </c>
    </row>
    <row r="136" spans="1:5" ht="22.5" customHeight="1" x14ac:dyDescent="0.2">
      <c r="A136" s="4">
        <v>18.170000000000002</v>
      </c>
      <c r="B136" s="5" t="s">
        <v>1260</v>
      </c>
      <c r="C136" s="5" t="s">
        <v>1261</v>
      </c>
      <c r="D136" s="7" t="s">
        <v>30</v>
      </c>
      <c r="E136" s="6">
        <f t="shared" si="0"/>
        <v>40</v>
      </c>
    </row>
    <row r="137" spans="1:5" ht="22.5" customHeight="1" x14ac:dyDescent="0.2">
      <c r="A137" s="4">
        <v>18.18</v>
      </c>
      <c r="B137" s="5" t="s">
        <v>1041</v>
      </c>
      <c r="C137" s="5" t="s">
        <v>1042</v>
      </c>
      <c r="D137" s="7" t="s">
        <v>35</v>
      </c>
      <c r="E137" s="6">
        <f t="shared" si="0"/>
        <v>100</v>
      </c>
    </row>
    <row r="138" spans="1:5" ht="22.5" customHeight="1" x14ac:dyDescent="0.2">
      <c r="A138" s="4">
        <v>18.190000000000001</v>
      </c>
      <c r="B138" s="5" t="s">
        <v>1262</v>
      </c>
      <c r="C138" s="5" t="s">
        <v>1263</v>
      </c>
      <c r="D138" s="7" t="s">
        <v>27</v>
      </c>
      <c r="E138" s="6">
        <f t="shared" si="0"/>
        <v>16</v>
      </c>
    </row>
    <row r="139" spans="1:5" ht="22.5" customHeight="1" x14ac:dyDescent="0.2">
      <c r="A139" s="4">
        <v>18.2</v>
      </c>
      <c r="B139" s="5" t="s">
        <v>1264</v>
      </c>
      <c r="C139" s="5" t="s">
        <v>1265</v>
      </c>
      <c r="D139" s="7" t="s">
        <v>27</v>
      </c>
      <c r="E139" s="6">
        <f t="shared" si="0"/>
        <v>16</v>
      </c>
    </row>
    <row r="140" spans="1:5" ht="22.5" customHeight="1" x14ac:dyDescent="0.2">
      <c r="A140" s="4">
        <v>18.21</v>
      </c>
      <c r="B140" s="5" t="s">
        <v>1266</v>
      </c>
      <c r="C140" s="5" t="s">
        <v>1267</v>
      </c>
      <c r="D140" s="7" t="s">
        <v>27</v>
      </c>
      <c r="E140" s="6">
        <f t="shared" si="0"/>
        <v>16</v>
      </c>
    </row>
    <row r="141" spans="1:5" ht="22.5" customHeight="1" x14ac:dyDescent="0.2">
      <c r="A141" s="4">
        <v>18.22</v>
      </c>
      <c r="B141" s="5" t="s">
        <v>1268</v>
      </c>
      <c r="C141" s="5" t="s">
        <v>1269</v>
      </c>
      <c r="D141" s="7" t="s">
        <v>27</v>
      </c>
      <c r="E141" s="6">
        <f t="shared" si="0"/>
        <v>16</v>
      </c>
    </row>
    <row r="142" spans="1:5" ht="22.5" customHeight="1" x14ac:dyDescent="0.2">
      <c r="A142" s="4">
        <v>18.23</v>
      </c>
      <c r="B142" s="5" t="s">
        <v>1270</v>
      </c>
      <c r="C142" s="5" t="s">
        <v>1271</v>
      </c>
      <c r="D142" s="7" t="s">
        <v>27</v>
      </c>
      <c r="E142" s="6">
        <f t="shared" si="0"/>
        <v>16</v>
      </c>
    </row>
    <row r="143" spans="1:5" ht="22.5" customHeight="1" x14ac:dyDescent="0.2">
      <c r="A143" s="4">
        <v>18.239999999999998</v>
      </c>
      <c r="B143" s="5" t="s">
        <v>1049</v>
      </c>
      <c r="C143" s="5" t="s">
        <v>1272</v>
      </c>
      <c r="D143" s="7" t="s">
        <v>30</v>
      </c>
      <c r="E143" s="6">
        <f t="shared" si="0"/>
        <v>40</v>
      </c>
    </row>
    <row r="144" spans="1:5" ht="22.5" customHeight="1" x14ac:dyDescent="0.2">
      <c r="A144" s="4">
        <v>18.25</v>
      </c>
      <c r="B144" s="5" t="s">
        <v>1273</v>
      </c>
      <c r="C144" s="5" t="s">
        <v>1274</v>
      </c>
      <c r="D144" s="7" t="s">
        <v>27</v>
      </c>
      <c r="E144" s="6">
        <f t="shared" si="0"/>
        <v>16</v>
      </c>
    </row>
    <row r="145" spans="1:5" ht="22.5" customHeight="1" x14ac:dyDescent="0.2">
      <c r="A145" s="4">
        <v>18.260000000000002</v>
      </c>
      <c r="B145" s="5" t="s">
        <v>1275</v>
      </c>
      <c r="C145" s="5" t="s">
        <v>1276</v>
      </c>
      <c r="D145" s="7" t="s">
        <v>30</v>
      </c>
      <c r="E145" s="6">
        <f t="shared" si="0"/>
        <v>40</v>
      </c>
    </row>
    <row r="146" spans="1:5" ht="22.5" customHeight="1" x14ac:dyDescent="0.2">
      <c r="A146" s="4">
        <v>18.27</v>
      </c>
      <c r="B146" s="5" t="s">
        <v>1277</v>
      </c>
      <c r="C146" s="5" t="s">
        <v>1278</v>
      </c>
      <c r="D146" s="7" t="s">
        <v>27</v>
      </c>
      <c r="E146" s="6">
        <f t="shared" si="0"/>
        <v>16</v>
      </c>
    </row>
    <row r="147" spans="1:5" ht="22.5" customHeight="1" x14ac:dyDescent="0.2">
      <c r="A147" s="4">
        <v>18.28</v>
      </c>
      <c r="B147" s="5" t="s">
        <v>1045</v>
      </c>
      <c r="C147" s="5" t="s">
        <v>1046</v>
      </c>
      <c r="D147" s="7" t="s">
        <v>27</v>
      </c>
      <c r="E147" s="6">
        <f t="shared" si="0"/>
        <v>16</v>
      </c>
    </row>
    <row r="148" spans="1:5" ht="22.5" customHeight="1" x14ac:dyDescent="0.2">
      <c r="A148" s="4">
        <v>18.29</v>
      </c>
      <c r="B148" s="5" t="s">
        <v>1279</v>
      </c>
      <c r="C148" s="5" t="s">
        <v>1280</v>
      </c>
      <c r="D148" s="7" t="s">
        <v>27</v>
      </c>
      <c r="E148" s="6">
        <f t="shared" si="0"/>
        <v>16</v>
      </c>
    </row>
    <row r="149" spans="1:5" ht="22.5" customHeight="1" x14ac:dyDescent="0.2">
      <c r="A149" s="4">
        <v>18.3</v>
      </c>
      <c r="B149" s="5" t="s">
        <v>1248</v>
      </c>
      <c r="C149" s="5" t="s">
        <v>1281</v>
      </c>
      <c r="D149" s="7" t="s">
        <v>30</v>
      </c>
      <c r="E149" s="6">
        <f t="shared" si="0"/>
        <v>40</v>
      </c>
    </row>
    <row r="150" spans="1:5" ht="22.5" customHeight="1" x14ac:dyDescent="0.2">
      <c r="A150" s="4">
        <v>18.309999999999999</v>
      </c>
      <c r="B150" s="5" t="s">
        <v>1282</v>
      </c>
      <c r="C150" s="5" t="s">
        <v>1283</v>
      </c>
      <c r="D150" s="7" t="s">
        <v>27</v>
      </c>
      <c r="E150" s="6">
        <f t="shared" si="0"/>
        <v>16</v>
      </c>
    </row>
    <row r="151" spans="1:5" ht="22.5" customHeight="1" x14ac:dyDescent="0.2">
      <c r="A151" s="4">
        <v>18.32</v>
      </c>
      <c r="B151" s="5" t="s">
        <v>1252</v>
      </c>
      <c r="C151" s="5" t="s">
        <v>1284</v>
      </c>
      <c r="D151" s="7" t="s">
        <v>27</v>
      </c>
      <c r="E151" s="6">
        <f t="shared" si="0"/>
        <v>16</v>
      </c>
    </row>
    <row r="152" spans="1:5" ht="22.5" customHeight="1" x14ac:dyDescent="0.2">
      <c r="A152" s="4">
        <v>18.329999999999998</v>
      </c>
      <c r="B152" s="5" t="s">
        <v>1285</v>
      </c>
      <c r="C152" s="5" t="s">
        <v>1286</v>
      </c>
      <c r="D152" s="7" t="s">
        <v>27</v>
      </c>
      <c r="E152" s="6">
        <f t="shared" si="0"/>
        <v>16</v>
      </c>
    </row>
    <row r="153" spans="1:5" ht="22.5" customHeight="1" x14ac:dyDescent="0.2">
      <c r="A153" s="4">
        <v>18.34</v>
      </c>
      <c r="B153" s="5" t="s">
        <v>1287</v>
      </c>
      <c r="C153" s="5" t="s">
        <v>1288</v>
      </c>
      <c r="D153" s="7" t="s">
        <v>35</v>
      </c>
      <c r="E153" s="6">
        <f t="shared" si="0"/>
        <v>100</v>
      </c>
    </row>
    <row r="154" spans="1:5" ht="22.5" customHeight="1" x14ac:dyDescent="0.2">
      <c r="A154" s="4">
        <v>18.350000000000001</v>
      </c>
      <c r="B154" s="5" t="s">
        <v>1049</v>
      </c>
      <c r="C154" s="5" t="s">
        <v>1050</v>
      </c>
      <c r="D154" s="7" t="s">
        <v>30</v>
      </c>
      <c r="E154" s="6">
        <f t="shared" si="0"/>
        <v>40</v>
      </c>
    </row>
    <row r="155" spans="1:5" ht="22.5" customHeight="1" x14ac:dyDescent="0.2">
      <c r="A155" s="4">
        <v>18.36</v>
      </c>
      <c r="B155" s="5" t="s">
        <v>1289</v>
      </c>
      <c r="C155" s="5" t="s">
        <v>1290</v>
      </c>
      <c r="D155" s="7" t="s">
        <v>27</v>
      </c>
      <c r="E155" s="6">
        <f t="shared" si="0"/>
        <v>16</v>
      </c>
    </row>
    <row r="156" spans="1:5" ht="22.5" customHeight="1" x14ac:dyDescent="0.2">
      <c r="A156" s="4">
        <v>18.37</v>
      </c>
      <c r="B156" s="5" t="s">
        <v>1053</v>
      </c>
      <c r="C156" s="5" t="s">
        <v>1054</v>
      </c>
      <c r="D156" s="7" t="s">
        <v>30</v>
      </c>
      <c r="E156" s="6">
        <f t="shared" si="0"/>
        <v>40</v>
      </c>
    </row>
    <row r="157" spans="1:5" ht="22.5" customHeight="1" x14ac:dyDescent="0.2">
      <c r="A157" s="4">
        <v>18.38</v>
      </c>
      <c r="B157" s="5" t="s">
        <v>1057</v>
      </c>
      <c r="C157" s="5" t="s">
        <v>1058</v>
      </c>
      <c r="D157" s="7" t="s">
        <v>30</v>
      </c>
      <c r="E157" s="6">
        <f t="shared" si="0"/>
        <v>40</v>
      </c>
    </row>
    <row r="158" spans="1:5" ht="22.5" customHeight="1" x14ac:dyDescent="0.2">
      <c r="A158" s="4">
        <v>19.100000000000001</v>
      </c>
      <c r="B158" s="5" t="s">
        <v>1291</v>
      </c>
      <c r="C158" s="5" t="s">
        <v>1292</v>
      </c>
      <c r="D158" s="7" t="s">
        <v>27</v>
      </c>
      <c r="E158" s="6">
        <f t="shared" si="0"/>
        <v>16</v>
      </c>
    </row>
    <row r="159" spans="1:5" ht="22.5" customHeight="1" x14ac:dyDescent="0.2">
      <c r="A159" s="4">
        <v>19.2</v>
      </c>
      <c r="B159" s="5" t="s">
        <v>1293</v>
      </c>
      <c r="C159" s="5" t="s">
        <v>1294</v>
      </c>
      <c r="D159" s="7" t="s">
        <v>27</v>
      </c>
      <c r="E159" s="6">
        <f t="shared" si="0"/>
        <v>16</v>
      </c>
    </row>
    <row r="160" spans="1:5" ht="22.5" customHeight="1" x14ac:dyDescent="0.2">
      <c r="A160" s="4">
        <v>19.3</v>
      </c>
      <c r="B160" s="5" t="s">
        <v>1295</v>
      </c>
      <c r="C160" s="5" t="s">
        <v>1296</v>
      </c>
      <c r="D160" s="7" t="s">
        <v>27</v>
      </c>
      <c r="E160" s="6">
        <f t="shared" si="0"/>
        <v>16</v>
      </c>
    </row>
    <row r="161" spans="1:5" ht="22.5" customHeight="1" x14ac:dyDescent="0.2">
      <c r="A161" s="4">
        <v>19.399999999999999</v>
      </c>
      <c r="B161" s="5" t="s">
        <v>1297</v>
      </c>
      <c r="C161" s="5" t="s">
        <v>1298</v>
      </c>
      <c r="D161" s="7" t="s">
        <v>30</v>
      </c>
      <c r="E161" s="6">
        <f t="shared" si="0"/>
        <v>40</v>
      </c>
    </row>
    <row r="162" spans="1:5" ht="22.5" customHeight="1" x14ac:dyDescent="0.2">
      <c r="A162" s="4">
        <v>19.5</v>
      </c>
      <c r="B162" s="5" t="s">
        <v>1299</v>
      </c>
      <c r="C162" s="5" t="s">
        <v>1300</v>
      </c>
      <c r="D162" s="7" t="s">
        <v>27</v>
      </c>
      <c r="E162" s="6">
        <f t="shared" si="0"/>
        <v>16</v>
      </c>
    </row>
    <row r="163" spans="1:5" ht="22.5" customHeight="1" x14ac:dyDescent="0.2">
      <c r="A163" s="4">
        <v>19.600000000000001</v>
      </c>
      <c r="B163" s="5" t="s">
        <v>1061</v>
      </c>
      <c r="C163" s="5" t="s">
        <v>1062</v>
      </c>
      <c r="D163" s="7" t="s">
        <v>27</v>
      </c>
      <c r="E163" s="6">
        <f t="shared" si="0"/>
        <v>16</v>
      </c>
    </row>
    <row r="164" spans="1:5" ht="22.5" customHeight="1" x14ac:dyDescent="0.2">
      <c r="A164" s="4">
        <v>19.7</v>
      </c>
      <c r="B164" s="5" t="s">
        <v>1301</v>
      </c>
      <c r="C164" s="5" t="s">
        <v>1302</v>
      </c>
      <c r="D164" s="7" t="s">
        <v>27</v>
      </c>
      <c r="E164" s="6">
        <f t="shared" si="0"/>
        <v>16</v>
      </c>
    </row>
    <row r="165" spans="1:5" ht="22.5" customHeight="1" x14ac:dyDescent="0.2">
      <c r="A165" s="4">
        <v>19.8</v>
      </c>
      <c r="B165" s="5" t="s">
        <v>1303</v>
      </c>
      <c r="C165" s="5" t="s">
        <v>1304</v>
      </c>
      <c r="D165" s="7" t="s">
        <v>27</v>
      </c>
      <c r="E165" s="6">
        <f t="shared" si="0"/>
        <v>16</v>
      </c>
    </row>
    <row r="166" spans="1:5" ht="22.5" customHeight="1" x14ac:dyDescent="0.2">
      <c r="A166" s="4">
        <v>19.899999999999999</v>
      </c>
      <c r="B166" s="5" t="s">
        <v>1305</v>
      </c>
      <c r="C166" s="5" t="s">
        <v>1306</v>
      </c>
      <c r="D166" s="7" t="s">
        <v>30</v>
      </c>
      <c r="E166" s="6">
        <f t="shared" si="0"/>
        <v>40</v>
      </c>
    </row>
    <row r="167" spans="1:5" ht="22.5" customHeight="1" x14ac:dyDescent="0.2">
      <c r="A167" s="4">
        <v>19.100000000000001</v>
      </c>
      <c r="B167" s="5" t="s">
        <v>1307</v>
      </c>
      <c r="C167" s="5" t="s">
        <v>1308</v>
      </c>
      <c r="D167" s="7" t="s">
        <v>27</v>
      </c>
      <c r="E167" s="6">
        <f t="shared" si="0"/>
        <v>16</v>
      </c>
    </row>
    <row r="168" spans="1:5" ht="22.5" customHeight="1" x14ac:dyDescent="0.2">
      <c r="A168" s="4">
        <v>19.11</v>
      </c>
      <c r="B168" s="5" t="s">
        <v>1309</v>
      </c>
      <c r="C168" s="5" t="s">
        <v>1310</v>
      </c>
      <c r="D168" s="7" t="s">
        <v>27</v>
      </c>
      <c r="E168" s="6">
        <f t="shared" si="0"/>
        <v>16</v>
      </c>
    </row>
    <row r="169" spans="1:5" ht="22.5" customHeight="1" x14ac:dyDescent="0.2">
      <c r="A169" s="4">
        <v>19.12</v>
      </c>
      <c r="B169" s="5" t="s">
        <v>1311</v>
      </c>
      <c r="C169" s="5" t="s">
        <v>1312</v>
      </c>
      <c r="D169" s="7" t="s">
        <v>30</v>
      </c>
      <c r="E169" s="6">
        <f t="shared" si="0"/>
        <v>40</v>
      </c>
    </row>
    <row r="170" spans="1:5" ht="22.5" customHeight="1" x14ac:dyDescent="0.2">
      <c r="A170" s="4">
        <v>19.13</v>
      </c>
      <c r="B170" s="5" t="s">
        <v>1313</v>
      </c>
      <c r="C170" s="5" t="s">
        <v>1314</v>
      </c>
      <c r="D170" s="7" t="s">
        <v>30</v>
      </c>
      <c r="E170" s="6">
        <f t="shared" si="0"/>
        <v>40</v>
      </c>
    </row>
    <row r="171" spans="1:5" ht="22.5" customHeight="1" x14ac:dyDescent="0.2">
      <c r="A171" s="4">
        <v>19.14</v>
      </c>
      <c r="B171" s="5" t="s">
        <v>1315</v>
      </c>
      <c r="C171" s="5" t="s">
        <v>1316</v>
      </c>
      <c r="D171" s="7" t="s">
        <v>30</v>
      </c>
      <c r="E171" s="6">
        <f t="shared" si="0"/>
        <v>40</v>
      </c>
    </row>
    <row r="172" spans="1:5" ht="22.5" customHeight="1" x14ac:dyDescent="0.2">
      <c r="A172" s="4">
        <v>19.149999999999999</v>
      </c>
      <c r="B172" s="5" t="s">
        <v>1317</v>
      </c>
      <c r="C172" s="5" t="s">
        <v>1318</v>
      </c>
      <c r="D172" s="7" t="s">
        <v>27</v>
      </c>
      <c r="E172" s="6">
        <f t="shared" si="0"/>
        <v>16</v>
      </c>
    </row>
    <row r="173" spans="1:5" ht="22.5" customHeight="1" x14ac:dyDescent="0.2">
      <c r="A173" s="4">
        <v>19.16</v>
      </c>
      <c r="B173" s="5" t="s">
        <v>1319</v>
      </c>
      <c r="C173" s="5" t="s">
        <v>1320</v>
      </c>
      <c r="D173" s="7" t="s">
        <v>27</v>
      </c>
      <c r="E173" s="6">
        <f t="shared" si="0"/>
        <v>16</v>
      </c>
    </row>
    <row r="174" spans="1:5" ht="22.5" customHeight="1" x14ac:dyDescent="0.2">
      <c r="A174" s="4">
        <v>19.170000000000002</v>
      </c>
      <c r="B174" s="5" t="s">
        <v>1321</v>
      </c>
      <c r="C174" s="5" t="s">
        <v>1322</v>
      </c>
      <c r="D174" s="7" t="s">
        <v>27</v>
      </c>
      <c r="E174" s="6">
        <f t="shared" si="0"/>
        <v>16</v>
      </c>
    </row>
    <row r="175" spans="1:5" ht="22.5" customHeight="1" x14ac:dyDescent="0.2">
      <c r="A175" s="4">
        <v>19.18</v>
      </c>
      <c r="B175" s="5" t="s">
        <v>1323</v>
      </c>
      <c r="C175" s="5" t="s">
        <v>1324</v>
      </c>
      <c r="D175" s="7" t="s">
        <v>30</v>
      </c>
      <c r="E175" s="6">
        <f t="shared" si="0"/>
        <v>40</v>
      </c>
    </row>
    <row r="176" spans="1:5" ht="22.5" customHeight="1" x14ac:dyDescent="0.2">
      <c r="A176" s="4">
        <v>19.190000000000001</v>
      </c>
      <c r="B176" s="5" t="s">
        <v>1325</v>
      </c>
      <c r="C176" s="5" t="s">
        <v>1326</v>
      </c>
      <c r="D176" s="7" t="s">
        <v>27</v>
      </c>
      <c r="E176" s="6">
        <f t="shared" si="0"/>
        <v>16</v>
      </c>
    </row>
    <row r="177" spans="1:5" ht="22.5" customHeight="1" x14ac:dyDescent="0.2">
      <c r="A177" s="4">
        <v>19.2</v>
      </c>
      <c r="B177" s="5" t="s">
        <v>1327</v>
      </c>
      <c r="C177" s="5" t="s">
        <v>1328</v>
      </c>
      <c r="D177" s="7" t="s">
        <v>30</v>
      </c>
      <c r="E177" s="6">
        <f t="shared" si="0"/>
        <v>40</v>
      </c>
    </row>
    <row r="178" spans="1:5" ht="22.5" customHeight="1" x14ac:dyDescent="0.2">
      <c r="A178" s="4">
        <v>19.21</v>
      </c>
      <c r="B178" s="5" t="s">
        <v>1329</v>
      </c>
      <c r="C178" s="5" t="s">
        <v>1330</v>
      </c>
      <c r="D178" s="7" t="s">
        <v>27</v>
      </c>
      <c r="E178" s="6">
        <f t="shared" si="0"/>
        <v>16</v>
      </c>
    </row>
    <row r="179" spans="1:5" ht="22.5" customHeight="1" x14ac:dyDescent="0.2">
      <c r="A179" s="4">
        <v>19.22</v>
      </c>
      <c r="B179" s="5" t="s">
        <v>1331</v>
      </c>
      <c r="C179" s="5" t="s">
        <v>1332</v>
      </c>
      <c r="D179" s="7" t="s">
        <v>30</v>
      </c>
      <c r="E179" s="6">
        <f t="shared" si="0"/>
        <v>40</v>
      </c>
    </row>
    <row r="180" spans="1:5" ht="22.5" customHeight="1" x14ac:dyDescent="0.2">
      <c r="A180" s="4">
        <v>20.100000000000001</v>
      </c>
      <c r="B180" s="5" t="s">
        <v>1333</v>
      </c>
      <c r="C180" s="5" t="s">
        <v>1334</v>
      </c>
      <c r="D180" s="7" t="s">
        <v>27</v>
      </c>
      <c r="E180" s="6">
        <f t="shared" si="0"/>
        <v>16</v>
      </c>
    </row>
    <row r="181" spans="1:5" ht="22.5" customHeight="1" x14ac:dyDescent="0.2">
      <c r="A181" s="4">
        <v>20.2</v>
      </c>
      <c r="B181" s="5" t="s">
        <v>1335</v>
      </c>
      <c r="C181" s="5" t="s">
        <v>1336</v>
      </c>
      <c r="D181" s="7" t="s">
        <v>27</v>
      </c>
      <c r="E181" s="6">
        <f t="shared" si="0"/>
        <v>16</v>
      </c>
    </row>
    <row r="182" spans="1:5" ht="22.5" customHeight="1" x14ac:dyDescent="0.2">
      <c r="A182" s="4">
        <v>20.3</v>
      </c>
      <c r="B182" s="5" t="s">
        <v>1065</v>
      </c>
      <c r="C182" s="5" t="s">
        <v>1066</v>
      </c>
      <c r="D182" s="7" t="s">
        <v>27</v>
      </c>
      <c r="E182" s="6">
        <f t="shared" si="0"/>
        <v>16</v>
      </c>
    </row>
    <row r="183" spans="1:5" ht="22.5" customHeight="1" x14ac:dyDescent="0.2">
      <c r="A183" s="4">
        <v>20.399999999999999</v>
      </c>
      <c r="B183" s="5" t="s">
        <v>1337</v>
      </c>
      <c r="C183" s="5" t="s">
        <v>1338</v>
      </c>
      <c r="D183" s="7" t="s">
        <v>30</v>
      </c>
      <c r="E183" s="6">
        <f t="shared" si="0"/>
        <v>40</v>
      </c>
    </row>
    <row r="184" spans="1:5" ht="22.5" customHeight="1" x14ac:dyDescent="0.2">
      <c r="A184" s="4">
        <v>20.5</v>
      </c>
      <c r="B184" s="5" t="s">
        <v>1339</v>
      </c>
      <c r="C184" s="5" t="s">
        <v>1340</v>
      </c>
      <c r="D184" s="7" t="s">
        <v>30</v>
      </c>
      <c r="E184" s="6">
        <f t="shared" si="0"/>
        <v>40</v>
      </c>
    </row>
    <row r="185" spans="1:5" ht="22.5" customHeight="1" x14ac:dyDescent="0.2">
      <c r="A185" s="4">
        <v>20.6</v>
      </c>
      <c r="B185" s="5" t="s">
        <v>1341</v>
      </c>
      <c r="C185" s="5" t="s">
        <v>1342</v>
      </c>
      <c r="D185" s="7" t="s">
        <v>30</v>
      </c>
      <c r="E185" s="6">
        <f t="shared" si="0"/>
        <v>40</v>
      </c>
    </row>
    <row r="186" spans="1:5" ht="22.5" customHeight="1" x14ac:dyDescent="0.2">
      <c r="A186" s="4">
        <v>20.7</v>
      </c>
      <c r="B186" s="5" t="s">
        <v>1343</v>
      </c>
      <c r="C186" s="5" t="s">
        <v>1344</v>
      </c>
      <c r="D186" s="7" t="s">
        <v>27</v>
      </c>
      <c r="E186" s="6">
        <f t="shared" si="0"/>
        <v>16</v>
      </c>
    </row>
    <row r="187" spans="1:5" ht="22.5" customHeight="1" x14ac:dyDescent="0.2">
      <c r="A187" s="4">
        <v>20.8</v>
      </c>
      <c r="B187" s="5" t="s">
        <v>1345</v>
      </c>
      <c r="C187" s="5" t="s">
        <v>1346</v>
      </c>
      <c r="D187" s="7" t="s">
        <v>30</v>
      </c>
      <c r="E187" s="6">
        <f t="shared" si="0"/>
        <v>40</v>
      </c>
    </row>
    <row r="188" spans="1:5" ht="22.5" customHeight="1" x14ac:dyDescent="0.2">
      <c r="A188" s="4">
        <v>20.9</v>
      </c>
      <c r="B188" s="5" t="s">
        <v>1347</v>
      </c>
      <c r="C188" s="5" t="s">
        <v>1348</v>
      </c>
      <c r="D188" s="7" t="s">
        <v>30</v>
      </c>
      <c r="E188" s="6">
        <f t="shared" si="0"/>
        <v>40</v>
      </c>
    </row>
    <row r="189" spans="1:5" ht="22.5" customHeight="1" x14ac:dyDescent="0.2">
      <c r="A189" s="4">
        <v>20.100000000000001</v>
      </c>
      <c r="B189" s="5" t="s">
        <v>1349</v>
      </c>
      <c r="C189" s="5" t="s">
        <v>1350</v>
      </c>
      <c r="D189" s="7" t="s">
        <v>30</v>
      </c>
      <c r="E189" s="6">
        <f t="shared" si="0"/>
        <v>40</v>
      </c>
    </row>
    <row r="190" spans="1:5" ht="22.5" customHeight="1" x14ac:dyDescent="0.2">
      <c r="A190" s="4">
        <v>20.11</v>
      </c>
      <c r="B190" s="5" t="s">
        <v>1351</v>
      </c>
      <c r="C190" s="5" t="s">
        <v>1352</v>
      </c>
      <c r="D190" s="7" t="s">
        <v>27</v>
      </c>
      <c r="E190" s="6">
        <f t="shared" si="0"/>
        <v>16</v>
      </c>
    </row>
    <row r="191" spans="1:5" ht="22.5" customHeight="1" x14ac:dyDescent="0.2">
      <c r="A191" s="4">
        <v>21.1</v>
      </c>
      <c r="B191" s="5" t="s">
        <v>1353</v>
      </c>
      <c r="C191" s="5" t="s">
        <v>1354</v>
      </c>
      <c r="D191" s="7" t="s">
        <v>27</v>
      </c>
      <c r="E191" s="6">
        <f t="shared" si="0"/>
        <v>16</v>
      </c>
    </row>
    <row r="192" spans="1:5" ht="22.5" customHeight="1" x14ac:dyDescent="0.2">
      <c r="A192" s="4">
        <v>21.2</v>
      </c>
      <c r="B192" s="5" t="s">
        <v>1355</v>
      </c>
      <c r="C192" s="5" t="s">
        <v>1356</v>
      </c>
      <c r="D192" s="7" t="s">
        <v>30</v>
      </c>
      <c r="E192" s="6">
        <f t="shared" si="0"/>
        <v>40</v>
      </c>
    </row>
    <row r="193" spans="1:5" ht="22.5" customHeight="1" x14ac:dyDescent="0.2">
      <c r="A193" s="4">
        <v>21.3</v>
      </c>
      <c r="B193" s="5" t="s">
        <v>1357</v>
      </c>
      <c r="C193" s="5" t="s">
        <v>1358</v>
      </c>
      <c r="D193" s="7" t="s">
        <v>27</v>
      </c>
      <c r="E193" s="6">
        <f t="shared" si="0"/>
        <v>16</v>
      </c>
    </row>
    <row r="194" spans="1:5" ht="22.5" customHeight="1" x14ac:dyDescent="0.2">
      <c r="A194" s="4">
        <v>21.4</v>
      </c>
      <c r="B194" s="5" t="s">
        <v>1359</v>
      </c>
      <c r="C194" s="5" t="s">
        <v>1360</v>
      </c>
      <c r="D194" s="7" t="s">
        <v>30</v>
      </c>
      <c r="E194" s="6">
        <f t="shared" si="0"/>
        <v>40</v>
      </c>
    </row>
    <row r="195" spans="1:5" ht="22.5" customHeight="1" x14ac:dyDescent="0.2">
      <c r="A195" s="4">
        <v>21.5</v>
      </c>
      <c r="B195" s="5" t="s">
        <v>1361</v>
      </c>
      <c r="C195" s="5" t="s">
        <v>1362</v>
      </c>
      <c r="D195" s="7" t="s">
        <v>27</v>
      </c>
      <c r="E195" s="6">
        <f t="shared" si="0"/>
        <v>16</v>
      </c>
    </row>
    <row r="196" spans="1:5" ht="22.5" customHeight="1" x14ac:dyDescent="0.2">
      <c r="A196" s="4">
        <v>22.1</v>
      </c>
      <c r="B196" s="5" t="s">
        <v>1363</v>
      </c>
      <c r="C196" s="5" t="s">
        <v>1364</v>
      </c>
      <c r="D196" s="7" t="s">
        <v>27</v>
      </c>
      <c r="E196" s="6">
        <f t="shared" si="0"/>
        <v>16</v>
      </c>
    </row>
    <row r="197" spans="1:5" ht="22.5" customHeight="1" x14ac:dyDescent="0.2">
      <c r="A197" s="4">
        <v>22.2</v>
      </c>
      <c r="B197" s="5" t="s">
        <v>1365</v>
      </c>
      <c r="C197" s="5" t="s">
        <v>1366</v>
      </c>
      <c r="D197" s="7" t="s">
        <v>27</v>
      </c>
      <c r="E197" s="6">
        <f t="shared" si="0"/>
        <v>16</v>
      </c>
    </row>
    <row r="198" spans="1:5" ht="22.5" customHeight="1" x14ac:dyDescent="0.2">
      <c r="A198" s="4">
        <v>22.3</v>
      </c>
      <c r="B198" s="5" t="s">
        <v>1367</v>
      </c>
      <c r="C198" s="5" t="s">
        <v>1368</v>
      </c>
      <c r="D198" s="7" t="s">
        <v>27</v>
      </c>
      <c r="E198" s="6">
        <f t="shared" si="0"/>
        <v>16</v>
      </c>
    </row>
    <row r="199" spans="1:5" ht="22.5" customHeight="1" x14ac:dyDescent="0.2">
      <c r="A199" s="4" t="s">
        <v>54</v>
      </c>
      <c r="B199" s="5" t="s">
        <v>1069</v>
      </c>
      <c r="C199" s="5" t="s">
        <v>1070</v>
      </c>
      <c r="D199" s="7" t="s">
        <v>30</v>
      </c>
      <c r="E199" s="6">
        <f t="shared" si="0"/>
        <v>40</v>
      </c>
    </row>
    <row r="200" spans="1:5" ht="22.5" customHeight="1" x14ac:dyDescent="0.2">
      <c r="A200" s="4" t="s">
        <v>339</v>
      </c>
      <c r="B200" s="5" t="s">
        <v>1073</v>
      </c>
      <c r="C200" s="5" t="s">
        <v>1074</v>
      </c>
      <c r="D200" s="7" t="s">
        <v>35</v>
      </c>
      <c r="E200" s="6">
        <f t="shared" si="0"/>
        <v>100</v>
      </c>
    </row>
    <row r="201" spans="1:5" ht="22.5" customHeight="1" x14ac:dyDescent="0.2">
      <c r="A201" s="4" t="s">
        <v>342</v>
      </c>
      <c r="B201" s="5" t="s">
        <v>1077</v>
      </c>
      <c r="C201" s="5" t="s">
        <v>1078</v>
      </c>
      <c r="D201" s="7" t="s">
        <v>30</v>
      </c>
      <c r="E201" s="6">
        <f t="shared" si="0"/>
        <v>40</v>
      </c>
    </row>
    <row r="202" spans="1:5" ht="22.5" customHeight="1" x14ac:dyDescent="0.2">
      <c r="A202" s="4" t="s">
        <v>59</v>
      </c>
      <c r="B202" s="5" t="s">
        <v>1081</v>
      </c>
      <c r="C202" s="5" t="s">
        <v>1082</v>
      </c>
      <c r="D202" s="7" t="s">
        <v>35</v>
      </c>
      <c r="E202" s="6">
        <f t="shared" si="0"/>
        <v>100</v>
      </c>
    </row>
    <row r="203" spans="1:5" ht="22.5" customHeight="1" x14ac:dyDescent="0.2">
      <c r="A203" s="4" t="s">
        <v>64</v>
      </c>
      <c r="B203" s="5" t="s">
        <v>1369</v>
      </c>
      <c r="C203" s="5" t="s">
        <v>1370</v>
      </c>
      <c r="D203" s="7" t="s">
        <v>27</v>
      </c>
      <c r="E203" s="6">
        <f t="shared" si="0"/>
        <v>16</v>
      </c>
    </row>
    <row r="204" spans="1:5" ht="22.5" customHeight="1" x14ac:dyDescent="0.2">
      <c r="A204" s="4" t="s">
        <v>69</v>
      </c>
      <c r="B204" s="5" t="s">
        <v>1371</v>
      </c>
      <c r="C204" s="5" t="s">
        <v>1372</v>
      </c>
      <c r="D204" s="7" t="s">
        <v>30</v>
      </c>
      <c r="E204" s="6">
        <f t="shared" si="0"/>
        <v>40</v>
      </c>
    </row>
    <row r="205" spans="1:5" ht="22.5" customHeight="1" x14ac:dyDescent="0.2">
      <c r="A205" s="4" t="s">
        <v>74</v>
      </c>
      <c r="B205" s="5" t="s">
        <v>1373</v>
      </c>
      <c r="C205" s="5" t="s">
        <v>1374</v>
      </c>
      <c r="D205" s="7" t="s">
        <v>30</v>
      </c>
      <c r="E205" s="6">
        <f t="shared" si="0"/>
        <v>40</v>
      </c>
    </row>
    <row r="206" spans="1:5" ht="22.5" customHeight="1" x14ac:dyDescent="0.2">
      <c r="A206" s="4" t="s">
        <v>345</v>
      </c>
      <c r="B206" s="5" t="s">
        <v>1085</v>
      </c>
      <c r="C206" s="5" t="s">
        <v>1086</v>
      </c>
      <c r="D206" s="7" t="s">
        <v>27</v>
      </c>
      <c r="E206" s="6">
        <f t="shared" si="0"/>
        <v>16</v>
      </c>
    </row>
    <row r="207" spans="1:5" ht="22.5" customHeight="1" x14ac:dyDescent="0.2">
      <c r="A207" s="4" t="s">
        <v>348</v>
      </c>
      <c r="B207" s="5" t="s">
        <v>1375</v>
      </c>
      <c r="C207" s="5" t="s">
        <v>1376</v>
      </c>
      <c r="D207" s="7" t="s">
        <v>35</v>
      </c>
      <c r="E207" s="6">
        <f t="shared" si="0"/>
        <v>100</v>
      </c>
    </row>
    <row r="208" spans="1:5" ht="22.5" customHeight="1" x14ac:dyDescent="0.2">
      <c r="A208" s="4" t="s">
        <v>351</v>
      </c>
      <c r="B208" s="5" t="s">
        <v>1377</v>
      </c>
      <c r="C208" s="5" t="s">
        <v>1378</v>
      </c>
      <c r="D208" s="7" t="s">
        <v>27</v>
      </c>
      <c r="E208" s="6">
        <f t="shared" si="0"/>
        <v>16</v>
      </c>
    </row>
    <row r="209" spans="1:5" ht="22.5" customHeight="1" x14ac:dyDescent="0.2">
      <c r="A209" s="18">
        <f>COUNTA(Detailed_Analysis_4[Step Num])</f>
        <v>202</v>
      </c>
      <c r="B209" s="18"/>
      <c r="C209" s="18"/>
      <c r="D209" s="18"/>
      <c r="E209" s="18">
        <f>SUM(Detailed_Analysis_4[Effort Hours (hrs)])</f>
        <v>6508</v>
      </c>
    </row>
  </sheetData>
  <mergeCells count="2">
    <mergeCell ref="A1:K1"/>
    <mergeCell ref="A2:K2"/>
  </mergeCells>
  <conditionalFormatting sqref="D7:D208">
    <cfRule type="cellIs" dxfId="34" priority="1" operator="equal">
      <formula>"HIGH"</formula>
    </cfRule>
    <cfRule type="cellIs" dxfId="33" priority="2" operator="equal">
      <formula>"MEDIUM"</formula>
    </cfRule>
    <cfRule type="cellIs" dxfId="32" priority="3" operator="equal">
      <formula>"LOW"</formula>
    </cfRule>
  </conditionalFormatting>
  <conditionalFormatting sqref="J7:J35">
    <cfRule type="cellIs" dxfId="31" priority="4" operator="equal">
      <formula>"HIGH"</formula>
    </cfRule>
    <cfRule type="cellIs" dxfId="30" priority="5" operator="equal">
      <formula>"MEDIUM"</formula>
    </cfRule>
    <cfRule type="cellIs" dxfId="29" priority="6" operator="equal">
      <formula>"LOW"</formula>
    </cfRule>
  </conditionalFormatting>
  <dataValidations count="2">
    <dataValidation type="custom" allowBlank="1" showDropDown="1" sqref="O3:P4 G7:G35 K7:K35 A7:A208 E7:E208" xr:uid="{00000000-0002-0000-0400-000000000000}">
      <formula1>AND(ISNUMBER(A3),(NOT(OR(NOT(ISERROR(DATEVALUE(A3))), AND(ISNUMBER(A3), LEFT(CELL("format", A3))="D")))))</formula1>
    </dataValidation>
    <dataValidation type="list" allowBlank="1" sqref="J7:J35 D7:D208" xr:uid="{00000000-0002-0000-0400-000001000000}">
      <formula1>"LOW,MEDIUM,HIGH"</formula1>
    </dataValidation>
  </dataValidations>
  <pageMargins left="0.7" right="0.7" top="0.75" bottom="0.75" header="0.3" footer="0.3"/>
  <ignoredErrors>
    <ignoredError sqref="G31:G35 A199:A208" listDataValidation="1"/>
  </ignoredErrors>
  <tableParts count="3">
    <tablePart r:id="rId1"/>
    <tablePart r:id="rId2"/>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P223"/>
  <sheetViews>
    <sheetView workbookViewId="0">
      <selection activeCell="F23" sqref="F23"/>
    </sheetView>
  </sheetViews>
  <sheetFormatPr defaultColWidth="12.5703125" defaultRowHeight="15.75" customHeight="1" x14ac:dyDescent="0.2"/>
  <cols>
    <col min="1" max="1" width="12.5703125" style="21"/>
    <col min="2" max="2" width="26.28515625" style="21" customWidth="1"/>
    <col min="3" max="3" width="69.140625" style="21" customWidth="1"/>
    <col min="4" max="7" width="12.5703125" style="21"/>
    <col min="8" max="8" width="26" style="21" customWidth="1"/>
    <col min="9" max="9" width="83.140625" style="21" customWidth="1"/>
    <col min="10" max="13" width="12.5703125" style="21"/>
    <col min="14" max="14" width="21.28515625" style="21" customWidth="1"/>
    <col min="15" max="15" width="18.42578125" style="21" customWidth="1"/>
    <col min="16" max="16" width="25.42578125" style="21" customWidth="1"/>
    <col min="17" max="16384" width="12.5703125" style="21"/>
  </cols>
  <sheetData>
    <row r="1" spans="1:16" ht="38.25" x14ac:dyDescent="0.2">
      <c r="A1" s="25" t="s">
        <v>1379</v>
      </c>
      <c r="B1" s="26"/>
      <c r="C1" s="26"/>
      <c r="D1" s="26"/>
      <c r="E1" s="26"/>
      <c r="F1" s="26"/>
      <c r="G1" s="26"/>
      <c r="H1" s="26"/>
      <c r="I1" s="26"/>
      <c r="J1" s="26"/>
      <c r="K1" s="26"/>
    </row>
    <row r="2" spans="1:16" ht="22.5" customHeight="1" x14ac:dyDescent="0.4">
      <c r="A2" s="27" t="s">
        <v>1380</v>
      </c>
      <c r="B2" s="26"/>
      <c r="C2" s="26"/>
      <c r="D2" s="26"/>
      <c r="E2" s="26"/>
      <c r="F2" s="26"/>
      <c r="G2" s="26"/>
      <c r="H2" s="26"/>
      <c r="I2" s="26"/>
      <c r="J2" s="26"/>
      <c r="K2" s="26"/>
      <c r="N2" s="15" t="s">
        <v>17</v>
      </c>
      <c r="O2" s="15" t="s">
        <v>18</v>
      </c>
      <c r="P2" s="15" t="s">
        <v>3</v>
      </c>
    </row>
    <row r="3" spans="1:16" ht="22.5" customHeight="1" x14ac:dyDescent="0.2">
      <c r="A3" s="1"/>
      <c r="B3" s="1"/>
      <c r="C3" s="2"/>
      <c r="D3" s="1"/>
      <c r="E3" s="2"/>
      <c r="F3" s="1"/>
      <c r="G3" s="1"/>
      <c r="H3" s="1"/>
      <c r="I3" s="2"/>
      <c r="J3" s="1"/>
      <c r="K3" s="2"/>
      <c r="N3" s="18" t="s">
        <v>19</v>
      </c>
      <c r="O3" s="18">
        <f>Detailed_Analysis_5[[#Totals],[Step Num]]</f>
        <v>216</v>
      </c>
      <c r="P3" s="18">
        <f>Detailed_Analysis_5[[#Totals],[Effort Hours (hrs)]]</f>
        <v>8184</v>
      </c>
    </row>
    <row r="4" spans="1:16" ht="22.5" customHeight="1" x14ac:dyDescent="0.2">
      <c r="A4" s="1"/>
      <c r="B4" s="1"/>
      <c r="C4" s="2"/>
      <c r="D4" s="1"/>
      <c r="E4" s="2"/>
      <c r="F4" s="1"/>
      <c r="G4" s="1"/>
      <c r="H4" s="1"/>
      <c r="I4" s="2"/>
      <c r="J4" s="1"/>
      <c r="K4" s="2"/>
      <c r="N4" s="18" t="s">
        <v>20</v>
      </c>
      <c r="O4" s="18">
        <f>Streamlined_Analysis_5[[#Totals],[Step Num]]</f>
        <v>29</v>
      </c>
      <c r="P4" s="18">
        <f>Streamlined_Analysis_5[[#Totals],[Effort Hours (hrs)]]</f>
        <v>1784</v>
      </c>
    </row>
    <row r="5" spans="1:16" ht="12.75" x14ac:dyDescent="0.2">
      <c r="A5" s="1"/>
      <c r="B5" s="1"/>
      <c r="C5" s="2"/>
      <c r="D5" s="1"/>
      <c r="E5" s="2"/>
      <c r="F5" s="1"/>
      <c r="G5" s="1"/>
      <c r="H5" s="1"/>
      <c r="I5" s="2"/>
      <c r="J5" s="1"/>
      <c r="K5" s="2"/>
    </row>
    <row r="6" spans="1:16" ht="30" customHeight="1" x14ac:dyDescent="0.2">
      <c r="A6" s="15" t="s">
        <v>21</v>
      </c>
      <c r="B6" s="15" t="s">
        <v>22</v>
      </c>
      <c r="C6" s="16" t="s">
        <v>23</v>
      </c>
      <c r="D6" s="15" t="s">
        <v>24</v>
      </c>
      <c r="E6" s="16" t="s">
        <v>3</v>
      </c>
      <c r="F6" s="1"/>
      <c r="G6" s="15" t="s">
        <v>21</v>
      </c>
      <c r="H6" s="15" t="s">
        <v>22</v>
      </c>
      <c r="I6" s="16" t="s">
        <v>23</v>
      </c>
      <c r="J6" s="15" t="s">
        <v>24</v>
      </c>
      <c r="K6" s="16" t="s">
        <v>3</v>
      </c>
    </row>
    <row r="7" spans="1:16" ht="22.5" customHeight="1" x14ac:dyDescent="0.2">
      <c r="A7" s="4">
        <v>7.1</v>
      </c>
      <c r="B7" s="5" t="s">
        <v>1381</v>
      </c>
      <c r="C7" s="5" t="s">
        <v>1382</v>
      </c>
      <c r="D7" s="7" t="s">
        <v>27</v>
      </c>
      <c r="E7" s="6">
        <v>16</v>
      </c>
      <c r="F7" s="1"/>
      <c r="G7" s="4">
        <v>7.3</v>
      </c>
      <c r="H7" s="5" t="s">
        <v>1383</v>
      </c>
      <c r="I7" s="5" t="s">
        <v>1384</v>
      </c>
      <c r="J7" s="7" t="s">
        <v>27</v>
      </c>
      <c r="K7" s="6">
        <v>16</v>
      </c>
    </row>
    <row r="8" spans="1:16" ht="22.5" customHeight="1" x14ac:dyDescent="0.2">
      <c r="A8" s="4">
        <v>7.2</v>
      </c>
      <c r="B8" s="5" t="s">
        <v>1385</v>
      </c>
      <c r="C8" s="5" t="s">
        <v>1386</v>
      </c>
      <c r="D8" s="7" t="s">
        <v>27</v>
      </c>
      <c r="E8" s="6">
        <v>16</v>
      </c>
      <c r="F8" s="1"/>
      <c r="G8" s="4">
        <v>7.8</v>
      </c>
      <c r="H8" s="5" t="s">
        <v>1387</v>
      </c>
      <c r="I8" s="5" t="s">
        <v>1388</v>
      </c>
      <c r="J8" s="7" t="s">
        <v>30</v>
      </c>
      <c r="K8" s="6">
        <v>40</v>
      </c>
    </row>
    <row r="9" spans="1:16" ht="22.5" customHeight="1" x14ac:dyDescent="0.2">
      <c r="A9" s="4">
        <v>7.3</v>
      </c>
      <c r="B9" s="5" t="s">
        <v>1383</v>
      </c>
      <c r="C9" s="5" t="s">
        <v>1384</v>
      </c>
      <c r="D9" s="7" t="s">
        <v>27</v>
      </c>
      <c r="E9" s="6">
        <v>16</v>
      </c>
      <c r="F9" s="1"/>
      <c r="G9" s="4">
        <v>8.1</v>
      </c>
      <c r="H9" s="5" t="s">
        <v>1389</v>
      </c>
      <c r="I9" s="5"/>
      <c r="J9" s="7" t="s">
        <v>30</v>
      </c>
      <c r="K9" s="6">
        <v>40</v>
      </c>
    </row>
    <row r="10" spans="1:16" ht="22.5" customHeight="1" x14ac:dyDescent="0.2">
      <c r="A10" s="4">
        <v>7.4</v>
      </c>
      <c r="B10" s="5" t="s">
        <v>1390</v>
      </c>
      <c r="C10" s="5" t="s">
        <v>1391</v>
      </c>
      <c r="D10" s="7" t="s">
        <v>27</v>
      </c>
      <c r="E10" s="6">
        <v>16</v>
      </c>
      <c r="F10" s="1"/>
      <c r="G10" s="4">
        <v>9.4</v>
      </c>
      <c r="H10" s="5" t="s">
        <v>1392</v>
      </c>
      <c r="I10" s="5"/>
      <c r="J10" s="7" t="s">
        <v>30</v>
      </c>
      <c r="K10" s="6">
        <v>40</v>
      </c>
    </row>
    <row r="11" spans="1:16" ht="22.5" customHeight="1" x14ac:dyDescent="0.2">
      <c r="A11" s="4">
        <v>7.5</v>
      </c>
      <c r="B11" s="5" t="s">
        <v>1393</v>
      </c>
      <c r="C11" s="5" t="s">
        <v>1394</v>
      </c>
      <c r="D11" s="7" t="s">
        <v>27</v>
      </c>
      <c r="E11" s="6">
        <v>16</v>
      </c>
      <c r="F11" s="1"/>
      <c r="G11" s="4">
        <v>10.1</v>
      </c>
      <c r="H11" s="5" t="s">
        <v>1395</v>
      </c>
      <c r="I11" s="5" t="s">
        <v>1396</v>
      </c>
      <c r="J11" s="7" t="s">
        <v>30</v>
      </c>
      <c r="K11" s="6">
        <v>40</v>
      </c>
    </row>
    <row r="12" spans="1:16" ht="22.5" customHeight="1" x14ac:dyDescent="0.2">
      <c r="A12" s="4">
        <v>7.6</v>
      </c>
      <c r="B12" s="5" t="s">
        <v>1397</v>
      </c>
      <c r="C12" s="5" t="s">
        <v>1398</v>
      </c>
      <c r="D12" s="7" t="s">
        <v>27</v>
      </c>
      <c r="E12" s="6">
        <v>16</v>
      </c>
      <c r="F12" s="1"/>
      <c r="G12" s="4">
        <v>11.9</v>
      </c>
      <c r="H12" s="5" t="s">
        <v>1399</v>
      </c>
      <c r="I12" s="5" t="s">
        <v>1400</v>
      </c>
      <c r="J12" s="7" t="s">
        <v>30</v>
      </c>
      <c r="K12" s="6">
        <v>40</v>
      </c>
    </row>
    <row r="13" spans="1:16" ht="22.5" customHeight="1" x14ac:dyDescent="0.2">
      <c r="A13" s="4">
        <v>7.7</v>
      </c>
      <c r="B13" s="5" t="s">
        <v>1401</v>
      </c>
      <c r="C13" s="5" t="s">
        <v>1402</v>
      </c>
      <c r="D13" s="7" t="s">
        <v>30</v>
      </c>
      <c r="E13" s="6">
        <v>40</v>
      </c>
      <c r="F13" s="1"/>
      <c r="G13" s="4">
        <v>11.1</v>
      </c>
      <c r="H13" s="5" t="s">
        <v>1403</v>
      </c>
      <c r="I13" s="5"/>
      <c r="J13" s="7" t="s">
        <v>35</v>
      </c>
      <c r="K13" s="6">
        <v>100</v>
      </c>
    </row>
    <row r="14" spans="1:16" ht="22.5" customHeight="1" x14ac:dyDescent="0.2">
      <c r="A14" s="4">
        <v>7.8</v>
      </c>
      <c r="B14" s="5" t="s">
        <v>1387</v>
      </c>
      <c r="C14" s="5" t="s">
        <v>1388</v>
      </c>
      <c r="D14" s="7" t="s">
        <v>27</v>
      </c>
      <c r="E14" s="6">
        <v>16</v>
      </c>
      <c r="F14" s="1"/>
      <c r="G14" s="4">
        <v>11.12</v>
      </c>
      <c r="H14" s="5" t="s">
        <v>1404</v>
      </c>
      <c r="I14" s="5" t="s">
        <v>1405</v>
      </c>
      <c r="J14" s="7" t="s">
        <v>30</v>
      </c>
      <c r="K14" s="6">
        <v>40</v>
      </c>
    </row>
    <row r="15" spans="1:16" ht="22.5" customHeight="1" x14ac:dyDescent="0.2">
      <c r="A15" s="4">
        <v>7.9</v>
      </c>
      <c r="B15" s="5" t="s">
        <v>1406</v>
      </c>
      <c r="C15" s="5" t="s">
        <v>1407</v>
      </c>
      <c r="D15" s="7" t="s">
        <v>30</v>
      </c>
      <c r="E15" s="6">
        <v>40</v>
      </c>
      <c r="F15" s="1"/>
      <c r="G15" s="4">
        <v>11.12</v>
      </c>
      <c r="H15" s="5" t="s">
        <v>1408</v>
      </c>
      <c r="I15" s="5" t="s">
        <v>1405</v>
      </c>
      <c r="J15" s="7" t="s">
        <v>30</v>
      </c>
      <c r="K15" s="6">
        <v>40</v>
      </c>
    </row>
    <row r="16" spans="1:16" ht="22.5" customHeight="1" x14ac:dyDescent="0.2">
      <c r="A16" s="4">
        <v>8.1</v>
      </c>
      <c r="B16" s="5" t="s">
        <v>1409</v>
      </c>
      <c r="C16" s="5" t="s">
        <v>1410</v>
      </c>
      <c r="D16" s="7" t="s">
        <v>35</v>
      </c>
      <c r="E16" s="6">
        <v>100</v>
      </c>
      <c r="F16" s="1"/>
      <c r="G16" s="4">
        <v>11.17</v>
      </c>
      <c r="H16" s="5" t="s">
        <v>1411</v>
      </c>
      <c r="I16" s="5" t="s">
        <v>1412</v>
      </c>
      <c r="J16" s="7" t="s">
        <v>27</v>
      </c>
      <c r="K16" s="6">
        <v>16</v>
      </c>
    </row>
    <row r="17" spans="1:11" ht="22.5" customHeight="1" x14ac:dyDescent="0.2">
      <c r="A17" s="4">
        <v>8.1999999999999993</v>
      </c>
      <c r="B17" s="5" t="s">
        <v>1413</v>
      </c>
      <c r="C17" s="5" t="s">
        <v>1414</v>
      </c>
      <c r="D17" s="7" t="s">
        <v>30</v>
      </c>
      <c r="E17" s="6">
        <v>40</v>
      </c>
      <c r="F17" s="1"/>
      <c r="G17" s="4">
        <v>12.1</v>
      </c>
      <c r="H17" s="5" t="s">
        <v>1415</v>
      </c>
      <c r="I17" s="5" t="s">
        <v>1416</v>
      </c>
      <c r="J17" s="7" t="s">
        <v>35</v>
      </c>
      <c r="K17" s="6">
        <v>100</v>
      </c>
    </row>
    <row r="18" spans="1:11" ht="22.5" customHeight="1" x14ac:dyDescent="0.2">
      <c r="A18" s="4">
        <v>8.3000000000000007</v>
      </c>
      <c r="B18" s="5" t="s">
        <v>1417</v>
      </c>
      <c r="C18" s="5" t="s">
        <v>1418</v>
      </c>
      <c r="D18" s="7" t="s">
        <v>30</v>
      </c>
      <c r="E18" s="6">
        <v>16</v>
      </c>
      <c r="F18" s="1"/>
      <c r="G18" s="4">
        <v>12.17</v>
      </c>
      <c r="H18" s="5" t="s">
        <v>1419</v>
      </c>
      <c r="I18" s="5"/>
      <c r="J18" s="7" t="s">
        <v>30</v>
      </c>
      <c r="K18" s="6">
        <v>40</v>
      </c>
    </row>
    <row r="19" spans="1:11" ht="22.5" customHeight="1" x14ac:dyDescent="0.2">
      <c r="A19" s="4">
        <v>9.1</v>
      </c>
      <c r="B19" s="5" t="s">
        <v>1420</v>
      </c>
      <c r="C19" s="5" t="s">
        <v>1421</v>
      </c>
      <c r="D19" s="7" t="s">
        <v>30</v>
      </c>
      <c r="E19" s="6">
        <v>40</v>
      </c>
      <c r="G19" s="4">
        <v>14.3</v>
      </c>
      <c r="H19" s="5" t="s">
        <v>1422</v>
      </c>
      <c r="I19" s="5" t="s">
        <v>1423</v>
      </c>
      <c r="J19" s="7" t="s">
        <v>35</v>
      </c>
      <c r="K19" s="6">
        <v>100</v>
      </c>
    </row>
    <row r="20" spans="1:11" ht="22.5" customHeight="1" x14ac:dyDescent="0.2">
      <c r="A20" s="4">
        <v>9.1999999999999993</v>
      </c>
      <c r="B20" s="5" t="s">
        <v>1424</v>
      </c>
      <c r="C20" s="5" t="s">
        <v>1425</v>
      </c>
      <c r="D20" s="7" t="s">
        <v>35</v>
      </c>
      <c r="E20" s="6">
        <v>100</v>
      </c>
      <c r="G20" s="4">
        <v>14.5</v>
      </c>
      <c r="H20" s="5" t="s">
        <v>1426</v>
      </c>
      <c r="I20" s="5" t="s">
        <v>1427</v>
      </c>
      <c r="J20" s="7" t="s">
        <v>35</v>
      </c>
      <c r="K20" s="6">
        <v>100</v>
      </c>
    </row>
    <row r="21" spans="1:11" ht="22.5" customHeight="1" x14ac:dyDescent="0.2">
      <c r="A21" s="4">
        <v>9.3000000000000007</v>
      </c>
      <c r="B21" s="5" t="s">
        <v>1428</v>
      </c>
      <c r="C21" s="5" t="s">
        <v>1429</v>
      </c>
      <c r="D21" s="7" t="s">
        <v>35</v>
      </c>
      <c r="E21" s="6">
        <v>100</v>
      </c>
      <c r="G21" s="4">
        <v>14.8</v>
      </c>
      <c r="H21" s="5" t="s">
        <v>1430</v>
      </c>
      <c r="I21" s="5" t="s">
        <v>1431</v>
      </c>
      <c r="J21" s="7" t="s">
        <v>30</v>
      </c>
      <c r="K21" s="6">
        <v>40</v>
      </c>
    </row>
    <row r="22" spans="1:11" ht="22.5" customHeight="1" x14ac:dyDescent="0.2">
      <c r="A22" s="4">
        <v>9.4</v>
      </c>
      <c r="B22" s="5" t="s">
        <v>1432</v>
      </c>
      <c r="C22" s="5" t="s">
        <v>1433</v>
      </c>
      <c r="D22" s="7" t="s">
        <v>30</v>
      </c>
      <c r="E22" s="6">
        <v>40</v>
      </c>
      <c r="G22" s="4">
        <v>14.1</v>
      </c>
      <c r="H22" s="5" t="s">
        <v>1434</v>
      </c>
      <c r="I22" s="5" t="s">
        <v>1435</v>
      </c>
      <c r="J22" s="7" t="s">
        <v>35</v>
      </c>
      <c r="K22" s="6">
        <v>100</v>
      </c>
    </row>
    <row r="23" spans="1:11" ht="22.5" customHeight="1" x14ac:dyDescent="0.2">
      <c r="A23" s="4">
        <v>9.5</v>
      </c>
      <c r="B23" s="5" t="s">
        <v>1436</v>
      </c>
      <c r="C23" s="5" t="s">
        <v>1437</v>
      </c>
      <c r="D23" s="7" t="s">
        <v>35</v>
      </c>
      <c r="E23" s="6">
        <v>100</v>
      </c>
      <c r="G23" s="4">
        <v>14.12</v>
      </c>
      <c r="H23" s="5" t="s">
        <v>1438</v>
      </c>
      <c r="I23" s="5" t="s">
        <v>1439</v>
      </c>
      <c r="J23" s="7" t="s">
        <v>35</v>
      </c>
      <c r="K23" s="6">
        <v>100</v>
      </c>
    </row>
    <row r="24" spans="1:11" ht="22.5" customHeight="1" x14ac:dyDescent="0.2">
      <c r="A24" s="4">
        <v>9.6</v>
      </c>
      <c r="B24" s="5" t="s">
        <v>1440</v>
      </c>
      <c r="C24" s="5" t="s">
        <v>1441</v>
      </c>
      <c r="D24" s="7" t="s">
        <v>35</v>
      </c>
      <c r="E24" s="6">
        <v>100</v>
      </c>
      <c r="G24" s="4">
        <v>14.2</v>
      </c>
      <c r="H24" s="5" t="s">
        <v>1442</v>
      </c>
      <c r="I24" s="5" t="s">
        <v>1443</v>
      </c>
      <c r="J24" s="7" t="s">
        <v>35</v>
      </c>
      <c r="K24" s="6">
        <v>100</v>
      </c>
    </row>
    <row r="25" spans="1:11" ht="22.5" customHeight="1" x14ac:dyDescent="0.2">
      <c r="A25" s="4">
        <v>9.6999999999999993</v>
      </c>
      <c r="B25" s="5" t="s">
        <v>1444</v>
      </c>
      <c r="C25" s="5" t="s">
        <v>1445</v>
      </c>
      <c r="D25" s="7" t="s">
        <v>35</v>
      </c>
      <c r="E25" s="6">
        <v>100</v>
      </c>
      <c r="G25" s="4">
        <v>14.21</v>
      </c>
      <c r="H25" s="5" t="s">
        <v>1446</v>
      </c>
      <c r="I25" s="5" t="s">
        <v>1447</v>
      </c>
      <c r="J25" s="7" t="s">
        <v>30</v>
      </c>
      <c r="K25" s="6">
        <v>40</v>
      </c>
    </row>
    <row r="26" spans="1:11" ht="22.5" customHeight="1" x14ac:dyDescent="0.2">
      <c r="A26" s="4">
        <v>9.8000000000000007</v>
      </c>
      <c r="B26" s="5" t="s">
        <v>1448</v>
      </c>
      <c r="C26" s="5" t="s">
        <v>1449</v>
      </c>
      <c r="D26" s="7" t="s">
        <v>30</v>
      </c>
      <c r="E26" s="6">
        <v>40</v>
      </c>
      <c r="G26" s="4">
        <v>17.399999999999999</v>
      </c>
      <c r="H26" s="5" t="s">
        <v>1450</v>
      </c>
      <c r="I26" s="5" t="s">
        <v>1451</v>
      </c>
      <c r="J26" s="7" t="s">
        <v>35</v>
      </c>
      <c r="K26" s="6">
        <v>100</v>
      </c>
    </row>
    <row r="27" spans="1:11" ht="22.5" customHeight="1" x14ac:dyDescent="0.2">
      <c r="A27" s="4">
        <v>9.9</v>
      </c>
      <c r="B27" s="5" t="s">
        <v>1452</v>
      </c>
      <c r="C27" s="5" t="s">
        <v>1453</v>
      </c>
      <c r="D27" s="7" t="s">
        <v>27</v>
      </c>
      <c r="E27" s="6">
        <v>16</v>
      </c>
      <c r="G27" s="4">
        <v>18.5</v>
      </c>
      <c r="H27" s="5" t="s">
        <v>1454</v>
      </c>
      <c r="I27" s="5" t="s">
        <v>1455</v>
      </c>
      <c r="J27" s="7" t="s">
        <v>30</v>
      </c>
      <c r="K27" s="6">
        <v>40</v>
      </c>
    </row>
    <row r="28" spans="1:11" ht="22.5" customHeight="1" x14ac:dyDescent="0.2">
      <c r="A28" s="4">
        <v>9.1</v>
      </c>
      <c r="B28" s="5" t="s">
        <v>1456</v>
      </c>
      <c r="C28" s="5" t="s">
        <v>1457</v>
      </c>
      <c r="D28" s="7" t="s">
        <v>27</v>
      </c>
      <c r="E28" s="6">
        <v>16</v>
      </c>
      <c r="G28" s="4">
        <v>19.899999999999999</v>
      </c>
      <c r="H28" s="5" t="s">
        <v>1458</v>
      </c>
      <c r="I28" s="5" t="s">
        <v>1459</v>
      </c>
      <c r="J28" s="7" t="s">
        <v>27</v>
      </c>
      <c r="K28" s="6">
        <v>16</v>
      </c>
    </row>
    <row r="29" spans="1:11" ht="22.5" customHeight="1" x14ac:dyDescent="0.2">
      <c r="A29" s="4">
        <v>10.1</v>
      </c>
      <c r="B29" s="5" t="s">
        <v>1395</v>
      </c>
      <c r="C29" s="5" t="s">
        <v>1396</v>
      </c>
      <c r="D29" s="7" t="s">
        <v>30</v>
      </c>
      <c r="E29" s="6">
        <v>40</v>
      </c>
      <c r="G29" s="4">
        <v>21.8</v>
      </c>
      <c r="H29" s="5" t="s">
        <v>1460</v>
      </c>
      <c r="I29" s="5" t="s">
        <v>1461</v>
      </c>
      <c r="J29" s="7" t="s">
        <v>30</v>
      </c>
      <c r="K29" s="6">
        <v>40</v>
      </c>
    </row>
    <row r="30" spans="1:11" ht="22.5" customHeight="1" x14ac:dyDescent="0.2">
      <c r="A30" s="4">
        <v>11.1</v>
      </c>
      <c r="B30" s="5" t="s">
        <v>1462</v>
      </c>
      <c r="C30" s="5" t="s">
        <v>1463</v>
      </c>
      <c r="D30" s="7" t="s">
        <v>30</v>
      </c>
      <c r="E30" s="6">
        <v>40</v>
      </c>
      <c r="G30" s="4">
        <v>21.9</v>
      </c>
      <c r="H30" s="5" t="s">
        <v>1464</v>
      </c>
      <c r="I30" s="5" t="s">
        <v>1465</v>
      </c>
      <c r="J30" s="7" t="s">
        <v>27</v>
      </c>
      <c r="K30" s="6">
        <v>16</v>
      </c>
    </row>
    <row r="31" spans="1:11" ht="22.5" customHeight="1" x14ac:dyDescent="0.2">
      <c r="A31" s="4">
        <v>11.2</v>
      </c>
      <c r="B31" s="5" t="s">
        <v>1466</v>
      </c>
      <c r="C31" s="5" t="s">
        <v>1467</v>
      </c>
      <c r="D31" s="7" t="s">
        <v>35</v>
      </c>
      <c r="E31" s="6">
        <v>100</v>
      </c>
      <c r="G31" s="4" t="s">
        <v>54</v>
      </c>
      <c r="H31" s="5" t="s">
        <v>1468</v>
      </c>
      <c r="I31" s="5" t="s">
        <v>1469</v>
      </c>
      <c r="J31" s="7" t="s">
        <v>35</v>
      </c>
      <c r="K31" s="6">
        <v>100</v>
      </c>
    </row>
    <row r="32" spans="1:11" ht="22.5" customHeight="1" x14ac:dyDescent="0.2">
      <c r="A32" s="4">
        <v>11.3</v>
      </c>
      <c r="B32" s="5" t="s">
        <v>1470</v>
      </c>
      <c r="C32" s="5" t="s">
        <v>1471</v>
      </c>
      <c r="D32" s="7" t="s">
        <v>27</v>
      </c>
      <c r="E32" s="6">
        <v>16</v>
      </c>
      <c r="G32" s="4" t="s">
        <v>348</v>
      </c>
      <c r="H32" s="5" t="s">
        <v>1472</v>
      </c>
      <c r="I32" s="5" t="s">
        <v>1473</v>
      </c>
      <c r="J32" s="7" t="s">
        <v>30</v>
      </c>
      <c r="K32" s="6">
        <v>40</v>
      </c>
    </row>
    <row r="33" spans="1:11" ht="22.5" customHeight="1" x14ac:dyDescent="0.2">
      <c r="A33" s="4">
        <v>11.4</v>
      </c>
      <c r="B33" s="5" t="s">
        <v>1474</v>
      </c>
      <c r="C33" s="5" t="s">
        <v>1475</v>
      </c>
      <c r="D33" s="7" t="s">
        <v>30</v>
      </c>
      <c r="E33" s="6">
        <v>40</v>
      </c>
      <c r="G33" s="4" t="s">
        <v>357</v>
      </c>
      <c r="H33" s="5" t="s">
        <v>1476</v>
      </c>
      <c r="I33" s="5" t="s">
        <v>1477</v>
      </c>
      <c r="J33" s="7" t="s">
        <v>35</v>
      </c>
      <c r="K33" s="6">
        <v>100</v>
      </c>
    </row>
    <row r="34" spans="1:11" ht="22.5" customHeight="1" x14ac:dyDescent="0.2">
      <c r="A34" s="4">
        <v>11.5</v>
      </c>
      <c r="B34" s="5" t="s">
        <v>1478</v>
      </c>
      <c r="C34" s="5" t="s">
        <v>1479</v>
      </c>
      <c r="D34" s="7" t="s">
        <v>30</v>
      </c>
      <c r="E34" s="6">
        <v>40</v>
      </c>
      <c r="G34" s="17" t="s">
        <v>583</v>
      </c>
      <c r="H34" s="5" t="s">
        <v>1480</v>
      </c>
      <c r="I34" s="5" t="s">
        <v>585</v>
      </c>
      <c r="J34" s="7" t="s">
        <v>35</v>
      </c>
      <c r="K34" s="6">
        <v>100</v>
      </c>
    </row>
    <row r="35" spans="1:11" ht="22.5" customHeight="1" x14ac:dyDescent="0.2">
      <c r="A35" s="4">
        <v>11.6</v>
      </c>
      <c r="B35" s="5" t="s">
        <v>1481</v>
      </c>
      <c r="C35" s="5" t="s">
        <v>1482</v>
      </c>
      <c r="D35" s="7" t="s">
        <v>27</v>
      </c>
      <c r="E35" s="6">
        <v>16</v>
      </c>
      <c r="G35" s="17" t="s">
        <v>583</v>
      </c>
      <c r="H35" s="5" t="s">
        <v>1483</v>
      </c>
      <c r="I35" s="5" t="s">
        <v>585</v>
      </c>
      <c r="J35" s="7" t="s">
        <v>35</v>
      </c>
      <c r="K35" s="6">
        <v>100</v>
      </c>
    </row>
    <row r="36" spans="1:11" ht="22.5" customHeight="1" x14ac:dyDescent="0.2">
      <c r="A36" s="4">
        <v>11.7</v>
      </c>
      <c r="B36" s="5" t="s">
        <v>1484</v>
      </c>
      <c r="C36" s="5" t="s">
        <v>1485</v>
      </c>
      <c r="D36" s="7" t="s">
        <v>30</v>
      </c>
      <c r="E36" s="6">
        <v>40</v>
      </c>
      <c r="G36" s="18">
        <f>COUNTA(Streamlined_Analysis_5[Step Num])</f>
        <v>29</v>
      </c>
      <c r="H36" s="18"/>
      <c r="I36" s="18"/>
      <c r="J36" s="18"/>
      <c r="K36" s="18">
        <f>SUM(Streamlined_Analysis_5[Effort Hours (hrs)])</f>
        <v>1784</v>
      </c>
    </row>
    <row r="37" spans="1:11" ht="22.5" customHeight="1" x14ac:dyDescent="0.2">
      <c r="A37" s="4">
        <v>11.8</v>
      </c>
      <c r="B37" s="5" t="s">
        <v>1486</v>
      </c>
      <c r="C37" s="5" t="s">
        <v>1487</v>
      </c>
      <c r="D37" s="7" t="s">
        <v>35</v>
      </c>
      <c r="E37" s="6">
        <v>100</v>
      </c>
    </row>
    <row r="38" spans="1:11" ht="22.5" customHeight="1" x14ac:dyDescent="0.2">
      <c r="A38" s="4">
        <v>11.9</v>
      </c>
      <c r="B38" s="5" t="s">
        <v>1399</v>
      </c>
      <c r="C38" s="5" t="s">
        <v>1400</v>
      </c>
      <c r="D38" s="7" t="s">
        <v>30</v>
      </c>
      <c r="E38" s="6">
        <v>40</v>
      </c>
    </row>
    <row r="39" spans="1:11" ht="22.5" customHeight="1" x14ac:dyDescent="0.2">
      <c r="A39" s="4">
        <v>11.1</v>
      </c>
      <c r="B39" s="5" t="s">
        <v>1488</v>
      </c>
      <c r="C39" s="5" t="s">
        <v>1489</v>
      </c>
      <c r="D39" s="7" t="s">
        <v>35</v>
      </c>
      <c r="E39" s="6">
        <v>100</v>
      </c>
    </row>
    <row r="40" spans="1:11" ht="22.5" customHeight="1" x14ac:dyDescent="0.2">
      <c r="A40" s="4">
        <v>11.11</v>
      </c>
      <c r="B40" s="5" t="s">
        <v>1490</v>
      </c>
      <c r="C40" s="5" t="s">
        <v>1491</v>
      </c>
      <c r="D40" s="7" t="s">
        <v>35</v>
      </c>
      <c r="E40" s="6">
        <v>100</v>
      </c>
    </row>
    <row r="41" spans="1:11" ht="22.5" customHeight="1" x14ac:dyDescent="0.2">
      <c r="A41" s="4">
        <v>11.12</v>
      </c>
      <c r="B41" s="5" t="s">
        <v>1404</v>
      </c>
      <c r="C41" s="5" t="s">
        <v>1405</v>
      </c>
      <c r="D41" s="7" t="s">
        <v>30</v>
      </c>
      <c r="E41" s="6">
        <v>40</v>
      </c>
    </row>
    <row r="42" spans="1:11" ht="22.5" customHeight="1" x14ac:dyDescent="0.2">
      <c r="A42" s="4">
        <v>11.13</v>
      </c>
      <c r="B42" s="5" t="s">
        <v>1492</v>
      </c>
      <c r="C42" s="5" t="s">
        <v>1493</v>
      </c>
      <c r="D42" s="7" t="s">
        <v>30</v>
      </c>
      <c r="E42" s="6">
        <v>40</v>
      </c>
    </row>
    <row r="43" spans="1:11" ht="22.5" customHeight="1" x14ac:dyDescent="0.2">
      <c r="A43" s="4">
        <v>11.14</v>
      </c>
      <c r="B43" s="5" t="s">
        <v>1494</v>
      </c>
      <c r="C43" s="5" t="s">
        <v>1495</v>
      </c>
      <c r="D43" s="7" t="s">
        <v>27</v>
      </c>
      <c r="E43" s="6">
        <v>16</v>
      </c>
    </row>
    <row r="44" spans="1:11" ht="22.5" customHeight="1" x14ac:dyDescent="0.2">
      <c r="A44" s="4">
        <v>11.15</v>
      </c>
      <c r="B44" s="5" t="s">
        <v>1496</v>
      </c>
      <c r="C44" s="5" t="s">
        <v>1497</v>
      </c>
      <c r="D44" s="7" t="s">
        <v>30</v>
      </c>
      <c r="E44" s="6">
        <v>40</v>
      </c>
    </row>
    <row r="45" spans="1:11" ht="22.5" customHeight="1" x14ac:dyDescent="0.2">
      <c r="A45" s="4">
        <v>11.16</v>
      </c>
      <c r="B45" s="5" t="s">
        <v>1498</v>
      </c>
      <c r="C45" s="5" t="s">
        <v>1499</v>
      </c>
      <c r="D45" s="7" t="s">
        <v>30</v>
      </c>
      <c r="E45" s="6">
        <v>40</v>
      </c>
    </row>
    <row r="46" spans="1:11" ht="22.5" customHeight="1" x14ac:dyDescent="0.2">
      <c r="A46" s="4">
        <v>11.17</v>
      </c>
      <c r="B46" s="5" t="s">
        <v>1411</v>
      </c>
      <c r="C46" s="5" t="s">
        <v>1412</v>
      </c>
      <c r="D46" s="7" t="s">
        <v>27</v>
      </c>
      <c r="E46" s="6">
        <v>16</v>
      </c>
    </row>
    <row r="47" spans="1:11" ht="22.5" customHeight="1" x14ac:dyDescent="0.2">
      <c r="A47" s="4">
        <v>11.18</v>
      </c>
      <c r="B47" s="5" t="s">
        <v>1500</v>
      </c>
      <c r="C47" s="5" t="s">
        <v>1501</v>
      </c>
      <c r="D47" s="7" t="s">
        <v>30</v>
      </c>
      <c r="E47" s="6">
        <v>40</v>
      </c>
    </row>
    <row r="48" spans="1:11" ht="22.5" customHeight="1" x14ac:dyDescent="0.2">
      <c r="A48" s="4">
        <v>11.19</v>
      </c>
      <c r="B48" s="5" t="s">
        <v>1502</v>
      </c>
      <c r="C48" s="5" t="s">
        <v>1503</v>
      </c>
      <c r="D48" s="7" t="s">
        <v>30</v>
      </c>
      <c r="E48" s="6">
        <v>40</v>
      </c>
    </row>
    <row r="49" spans="1:5" ht="22.5" customHeight="1" x14ac:dyDescent="0.2">
      <c r="A49" s="4">
        <v>11.2</v>
      </c>
      <c r="B49" s="5" t="s">
        <v>1504</v>
      </c>
      <c r="C49" s="5" t="s">
        <v>1505</v>
      </c>
      <c r="D49" s="7" t="s">
        <v>27</v>
      </c>
      <c r="E49" s="6">
        <v>16</v>
      </c>
    </row>
    <row r="50" spans="1:5" ht="22.5" customHeight="1" x14ac:dyDescent="0.2">
      <c r="A50" s="4">
        <v>11.21</v>
      </c>
      <c r="B50" s="5" t="s">
        <v>1506</v>
      </c>
      <c r="C50" s="5" t="s">
        <v>1507</v>
      </c>
      <c r="D50" s="7" t="s">
        <v>30</v>
      </c>
      <c r="E50" s="6">
        <v>40</v>
      </c>
    </row>
    <row r="51" spans="1:5" ht="22.5" customHeight="1" x14ac:dyDescent="0.2">
      <c r="A51" s="4">
        <v>11.22</v>
      </c>
      <c r="B51" s="5" t="s">
        <v>1508</v>
      </c>
      <c r="C51" s="5" t="s">
        <v>1509</v>
      </c>
      <c r="D51" s="7" t="s">
        <v>30</v>
      </c>
      <c r="E51" s="6">
        <v>40</v>
      </c>
    </row>
    <row r="52" spans="1:5" ht="22.5" customHeight="1" x14ac:dyDescent="0.2">
      <c r="A52" s="4">
        <v>11.23</v>
      </c>
      <c r="B52" s="5" t="s">
        <v>1510</v>
      </c>
      <c r="C52" s="5" t="s">
        <v>1511</v>
      </c>
      <c r="D52" s="7" t="s">
        <v>30</v>
      </c>
      <c r="E52" s="6">
        <v>16</v>
      </c>
    </row>
    <row r="53" spans="1:5" ht="22.5" customHeight="1" x14ac:dyDescent="0.2">
      <c r="A53" s="4">
        <v>11.24</v>
      </c>
      <c r="B53" s="5" t="s">
        <v>1512</v>
      </c>
      <c r="C53" s="5" t="s">
        <v>1513</v>
      </c>
      <c r="D53" s="7" t="s">
        <v>27</v>
      </c>
      <c r="E53" s="6">
        <v>8</v>
      </c>
    </row>
    <row r="54" spans="1:5" ht="22.5" customHeight="1" x14ac:dyDescent="0.2">
      <c r="A54" s="4">
        <v>12.1</v>
      </c>
      <c r="B54" s="5" t="s">
        <v>1514</v>
      </c>
      <c r="C54" s="5" t="s">
        <v>1515</v>
      </c>
      <c r="D54" s="7" t="s">
        <v>27</v>
      </c>
      <c r="E54" s="6">
        <v>16</v>
      </c>
    </row>
    <row r="55" spans="1:5" ht="22.5" customHeight="1" x14ac:dyDescent="0.2">
      <c r="A55" s="4">
        <v>12.2</v>
      </c>
      <c r="B55" s="5" t="s">
        <v>1516</v>
      </c>
      <c r="C55" s="5" t="s">
        <v>1517</v>
      </c>
      <c r="D55" s="7" t="s">
        <v>27</v>
      </c>
      <c r="E55" s="6">
        <v>16</v>
      </c>
    </row>
    <row r="56" spans="1:5" ht="22.5" customHeight="1" x14ac:dyDescent="0.2">
      <c r="A56" s="4">
        <v>12.3</v>
      </c>
      <c r="B56" s="5" t="s">
        <v>1518</v>
      </c>
      <c r="C56" s="5" t="s">
        <v>1519</v>
      </c>
      <c r="D56" s="7" t="s">
        <v>27</v>
      </c>
      <c r="E56" s="6">
        <v>16</v>
      </c>
    </row>
    <row r="57" spans="1:5" ht="22.5" customHeight="1" x14ac:dyDescent="0.2">
      <c r="A57" s="4">
        <v>12.4</v>
      </c>
      <c r="B57" s="5" t="s">
        <v>1520</v>
      </c>
      <c r="C57" s="5" t="s">
        <v>1521</v>
      </c>
      <c r="D57" s="7" t="s">
        <v>30</v>
      </c>
      <c r="E57" s="6">
        <v>40</v>
      </c>
    </row>
    <row r="58" spans="1:5" ht="22.5" customHeight="1" x14ac:dyDescent="0.2">
      <c r="A58" s="4">
        <v>12.5</v>
      </c>
      <c r="B58" s="5" t="s">
        <v>1522</v>
      </c>
      <c r="C58" s="5" t="s">
        <v>1523</v>
      </c>
      <c r="D58" s="7" t="s">
        <v>27</v>
      </c>
      <c r="E58" s="6">
        <v>16</v>
      </c>
    </row>
    <row r="59" spans="1:5" ht="22.5" customHeight="1" x14ac:dyDescent="0.2">
      <c r="A59" s="4">
        <v>12.6</v>
      </c>
      <c r="B59" s="5" t="s">
        <v>1524</v>
      </c>
      <c r="C59" s="5" t="s">
        <v>1525</v>
      </c>
      <c r="D59" s="7" t="s">
        <v>30</v>
      </c>
      <c r="E59" s="6">
        <v>40</v>
      </c>
    </row>
    <row r="60" spans="1:5" ht="22.5" customHeight="1" x14ac:dyDescent="0.2">
      <c r="A60" s="4">
        <v>12.7</v>
      </c>
      <c r="B60" s="5" t="s">
        <v>1526</v>
      </c>
      <c r="C60" s="5" t="s">
        <v>1527</v>
      </c>
      <c r="D60" s="7" t="s">
        <v>30</v>
      </c>
      <c r="E60" s="6">
        <v>40</v>
      </c>
    </row>
    <row r="61" spans="1:5" ht="22.5" customHeight="1" x14ac:dyDescent="0.2">
      <c r="A61" s="4">
        <v>12.8</v>
      </c>
      <c r="B61" s="5" t="s">
        <v>1528</v>
      </c>
      <c r="C61" s="5" t="s">
        <v>1529</v>
      </c>
      <c r="D61" s="7" t="s">
        <v>30</v>
      </c>
      <c r="E61" s="6">
        <v>40</v>
      </c>
    </row>
    <row r="62" spans="1:5" ht="22.5" customHeight="1" x14ac:dyDescent="0.2">
      <c r="A62" s="4">
        <v>12.9</v>
      </c>
      <c r="B62" s="5" t="s">
        <v>1530</v>
      </c>
      <c r="C62" s="5" t="s">
        <v>1531</v>
      </c>
      <c r="D62" s="7" t="s">
        <v>27</v>
      </c>
      <c r="E62" s="6">
        <v>16</v>
      </c>
    </row>
    <row r="63" spans="1:5" ht="22.5" customHeight="1" x14ac:dyDescent="0.2">
      <c r="A63" s="4">
        <v>12.1</v>
      </c>
      <c r="B63" s="5" t="s">
        <v>1415</v>
      </c>
      <c r="C63" s="5" t="s">
        <v>1416</v>
      </c>
      <c r="D63" s="7" t="s">
        <v>35</v>
      </c>
      <c r="E63" s="6">
        <v>100</v>
      </c>
    </row>
    <row r="64" spans="1:5" ht="22.5" customHeight="1" x14ac:dyDescent="0.2">
      <c r="A64" s="4">
        <v>12.11</v>
      </c>
      <c r="B64" s="5" t="s">
        <v>1532</v>
      </c>
      <c r="C64" s="5" t="s">
        <v>1533</v>
      </c>
      <c r="D64" s="7" t="s">
        <v>30</v>
      </c>
      <c r="E64" s="6">
        <v>40</v>
      </c>
    </row>
    <row r="65" spans="1:5" ht="22.5" customHeight="1" x14ac:dyDescent="0.2">
      <c r="A65" s="4">
        <v>12.12</v>
      </c>
      <c r="B65" s="5" t="s">
        <v>1534</v>
      </c>
      <c r="C65" s="5" t="s">
        <v>1535</v>
      </c>
      <c r="D65" s="7" t="s">
        <v>30</v>
      </c>
      <c r="E65" s="6">
        <v>40</v>
      </c>
    </row>
    <row r="66" spans="1:5" ht="22.5" customHeight="1" x14ac:dyDescent="0.2">
      <c r="A66" s="4">
        <v>12.13</v>
      </c>
      <c r="B66" s="5" t="s">
        <v>1536</v>
      </c>
      <c r="C66" s="5" t="s">
        <v>1537</v>
      </c>
      <c r="D66" s="7" t="s">
        <v>30</v>
      </c>
      <c r="E66" s="6">
        <v>40</v>
      </c>
    </row>
    <row r="67" spans="1:5" ht="22.5" customHeight="1" x14ac:dyDescent="0.2">
      <c r="A67" s="4">
        <v>12.14</v>
      </c>
      <c r="B67" s="5" t="s">
        <v>1538</v>
      </c>
      <c r="C67" s="5" t="s">
        <v>1539</v>
      </c>
      <c r="D67" s="7" t="s">
        <v>30</v>
      </c>
      <c r="E67" s="6">
        <v>40</v>
      </c>
    </row>
    <row r="68" spans="1:5" ht="22.5" customHeight="1" x14ac:dyDescent="0.2">
      <c r="A68" s="4">
        <v>12.15</v>
      </c>
      <c r="B68" s="5" t="s">
        <v>1540</v>
      </c>
      <c r="C68" s="5" t="s">
        <v>1541</v>
      </c>
      <c r="D68" s="7" t="s">
        <v>30</v>
      </c>
      <c r="E68" s="6">
        <v>40</v>
      </c>
    </row>
    <row r="69" spans="1:5" ht="22.5" customHeight="1" x14ac:dyDescent="0.2">
      <c r="A69" s="4">
        <v>12.16</v>
      </c>
      <c r="B69" s="5" t="s">
        <v>1542</v>
      </c>
      <c r="C69" s="5" t="s">
        <v>1543</v>
      </c>
      <c r="D69" s="7" t="s">
        <v>27</v>
      </c>
      <c r="E69" s="6">
        <v>16</v>
      </c>
    </row>
    <row r="70" spans="1:5" ht="22.5" customHeight="1" x14ac:dyDescent="0.2">
      <c r="A70" s="4">
        <v>12.17</v>
      </c>
      <c r="B70" s="5" t="s">
        <v>1544</v>
      </c>
      <c r="C70" s="5" t="s">
        <v>1545</v>
      </c>
      <c r="D70" s="7" t="s">
        <v>27</v>
      </c>
      <c r="E70" s="6">
        <v>16</v>
      </c>
    </row>
    <row r="71" spans="1:5" ht="22.5" customHeight="1" x14ac:dyDescent="0.2">
      <c r="A71" s="4">
        <v>12.18</v>
      </c>
      <c r="B71" s="5" t="s">
        <v>1546</v>
      </c>
      <c r="C71" s="5" t="s">
        <v>1547</v>
      </c>
      <c r="D71" s="7" t="s">
        <v>30</v>
      </c>
      <c r="E71" s="6">
        <v>40</v>
      </c>
    </row>
    <row r="72" spans="1:5" ht="22.5" customHeight="1" x14ac:dyDescent="0.2">
      <c r="A72" s="4">
        <v>12.19</v>
      </c>
      <c r="B72" s="5" t="s">
        <v>1548</v>
      </c>
      <c r="C72" s="5" t="s">
        <v>1549</v>
      </c>
      <c r="D72" s="7" t="s">
        <v>30</v>
      </c>
      <c r="E72" s="6">
        <v>40</v>
      </c>
    </row>
    <row r="73" spans="1:5" ht="22.5" customHeight="1" x14ac:dyDescent="0.2">
      <c r="A73" s="4">
        <v>12.2</v>
      </c>
      <c r="B73" s="5" t="s">
        <v>1550</v>
      </c>
      <c r="C73" s="5" t="s">
        <v>1551</v>
      </c>
      <c r="D73" s="7" t="s">
        <v>30</v>
      </c>
      <c r="E73" s="6">
        <v>40</v>
      </c>
    </row>
    <row r="74" spans="1:5" ht="22.5" customHeight="1" x14ac:dyDescent="0.2">
      <c r="A74" s="4">
        <v>12.21</v>
      </c>
      <c r="B74" s="5" t="s">
        <v>1552</v>
      </c>
      <c r="C74" s="5" t="s">
        <v>1553</v>
      </c>
      <c r="D74" s="7" t="s">
        <v>30</v>
      </c>
      <c r="E74" s="6">
        <v>40</v>
      </c>
    </row>
    <row r="75" spans="1:5" ht="22.5" customHeight="1" x14ac:dyDescent="0.2">
      <c r="A75" s="4">
        <v>12.22</v>
      </c>
      <c r="B75" s="5" t="s">
        <v>1554</v>
      </c>
      <c r="C75" s="5" t="s">
        <v>1555</v>
      </c>
      <c r="D75" s="7" t="s">
        <v>27</v>
      </c>
      <c r="E75" s="6">
        <v>16</v>
      </c>
    </row>
    <row r="76" spans="1:5" ht="22.5" customHeight="1" x14ac:dyDescent="0.2">
      <c r="A76" s="4">
        <v>12.23</v>
      </c>
      <c r="B76" s="5" t="s">
        <v>1556</v>
      </c>
      <c r="C76" s="5" t="s">
        <v>1557</v>
      </c>
      <c r="D76" s="7" t="s">
        <v>30</v>
      </c>
      <c r="E76" s="6">
        <v>40</v>
      </c>
    </row>
    <row r="77" spans="1:5" ht="22.5" customHeight="1" x14ac:dyDescent="0.2">
      <c r="A77" s="4">
        <v>12.24</v>
      </c>
      <c r="B77" s="5" t="s">
        <v>1558</v>
      </c>
      <c r="C77" s="5" t="s">
        <v>1559</v>
      </c>
      <c r="D77" s="7" t="s">
        <v>30</v>
      </c>
      <c r="E77" s="6">
        <v>40</v>
      </c>
    </row>
    <row r="78" spans="1:5" ht="22.5" customHeight="1" x14ac:dyDescent="0.2">
      <c r="A78" s="4">
        <v>12.25</v>
      </c>
      <c r="B78" s="5" t="s">
        <v>1560</v>
      </c>
      <c r="C78" s="5" t="s">
        <v>1561</v>
      </c>
      <c r="D78" s="7" t="s">
        <v>30</v>
      </c>
      <c r="E78" s="6">
        <v>40</v>
      </c>
    </row>
    <row r="79" spans="1:5" ht="22.5" customHeight="1" x14ac:dyDescent="0.2">
      <c r="A79" s="4">
        <v>12.26</v>
      </c>
      <c r="B79" s="5" t="s">
        <v>1562</v>
      </c>
      <c r="C79" s="5" t="s">
        <v>1563</v>
      </c>
      <c r="D79" s="7" t="s">
        <v>27</v>
      </c>
      <c r="E79" s="6">
        <v>16</v>
      </c>
    </row>
    <row r="80" spans="1:5" ht="22.5" customHeight="1" x14ac:dyDescent="0.2">
      <c r="A80" s="4">
        <v>12.27</v>
      </c>
      <c r="B80" s="5" t="s">
        <v>1564</v>
      </c>
      <c r="C80" s="5" t="s">
        <v>1565</v>
      </c>
      <c r="D80" s="7" t="s">
        <v>30</v>
      </c>
      <c r="E80" s="6">
        <v>40</v>
      </c>
    </row>
    <row r="81" spans="1:5" ht="22.5" customHeight="1" x14ac:dyDescent="0.2">
      <c r="A81" s="4">
        <v>12.28</v>
      </c>
      <c r="B81" s="5" t="s">
        <v>1566</v>
      </c>
      <c r="C81" s="5" t="s">
        <v>1567</v>
      </c>
      <c r="D81" s="7" t="s">
        <v>30</v>
      </c>
      <c r="E81" s="6">
        <v>40</v>
      </c>
    </row>
    <row r="82" spans="1:5" ht="22.5" customHeight="1" x14ac:dyDescent="0.2">
      <c r="A82" s="4">
        <v>13.1</v>
      </c>
      <c r="B82" s="5" t="s">
        <v>1568</v>
      </c>
      <c r="C82" s="5" t="s">
        <v>1569</v>
      </c>
      <c r="D82" s="7" t="s">
        <v>30</v>
      </c>
      <c r="E82" s="6">
        <v>40</v>
      </c>
    </row>
    <row r="83" spans="1:5" ht="22.5" customHeight="1" x14ac:dyDescent="0.2">
      <c r="A83" s="4">
        <v>13.2</v>
      </c>
      <c r="B83" s="5" t="s">
        <v>1570</v>
      </c>
      <c r="C83" s="5" t="s">
        <v>1571</v>
      </c>
      <c r="D83" s="7" t="s">
        <v>30</v>
      </c>
      <c r="E83" s="6">
        <v>40</v>
      </c>
    </row>
    <row r="84" spans="1:5" ht="22.5" customHeight="1" x14ac:dyDescent="0.2">
      <c r="A84" s="4">
        <v>13.3</v>
      </c>
      <c r="B84" s="5" t="s">
        <v>1572</v>
      </c>
      <c r="C84" s="5" t="s">
        <v>1573</v>
      </c>
      <c r="D84" s="7" t="s">
        <v>30</v>
      </c>
      <c r="E84" s="6">
        <v>40</v>
      </c>
    </row>
    <row r="85" spans="1:5" ht="22.5" customHeight="1" x14ac:dyDescent="0.2">
      <c r="A85" s="4">
        <v>13.4</v>
      </c>
      <c r="B85" s="5" t="s">
        <v>1574</v>
      </c>
      <c r="C85" s="5" t="s">
        <v>1575</v>
      </c>
      <c r="D85" s="7" t="s">
        <v>30</v>
      </c>
      <c r="E85" s="6">
        <v>40</v>
      </c>
    </row>
    <row r="86" spans="1:5" ht="22.5" customHeight="1" x14ac:dyDescent="0.2">
      <c r="A86" s="4">
        <v>13.5</v>
      </c>
      <c r="B86" s="5" t="s">
        <v>1576</v>
      </c>
      <c r="C86" s="5" t="s">
        <v>1577</v>
      </c>
      <c r="D86" s="7" t="s">
        <v>30</v>
      </c>
      <c r="E86" s="6">
        <v>40</v>
      </c>
    </row>
    <row r="87" spans="1:5" ht="22.5" customHeight="1" x14ac:dyDescent="0.2">
      <c r="A87" s="4">
        <v>13.6</v>
      </c>
      <c r="B87" s="5" t="s">
        <v>1578</v>
      </c>
      <c r="C87" s="5" t="s">
        <v>1579</v>
      </c>
      <c r="D87" s="7" t="s">
        <v>30</v>
      </c>
      <c r="E87" s="6">
        <v>40</v>
      </c>
    </row>
    <row r="88" spans="1:5" ht="22.5" customHeight="1" x14ac:dyDescent="0.2">
      <c r="A88" s="4">
        <v>13.7</v>
      </c>
      <c r="B88" s="5" t="s">
        <v>1580</v>
      </c>
      <c r="C88" s="5" t="s">
        <v>1581</v>
      </c>
      <c r="D88" s="7" t="s">
        <v>30</v>
      </c>
      <c r="E88" s="6">
        <v>40</v>
      </c>
    </row>
    <row r="89" spans="1:5" ht="22.5" customHeight="1" x14ac:dyDescent="0.2">
      <c r="A89" s="4">
        <v>13.8</v>
      </c>
      <c r="B89" s="5" t="s">
        <v>1582</v>
      </c>
      <c r="C89" s="5" t="s">
        <v>1583</v>
      </c>
      <c r="D89" s="7" t="s">
        <v>30</v>
      </c>
      <c r="E89" s="6">
        <v>40</v>
      </c>
    </row>
    <row r="90" spans="1:5" ht="22.5" customHeight="1" x14ac:dyDescent="0.2">
      <c r="A90" s="4">
        <v>13.9</v>
      </c>
      <c r="B90" s="5" t="s">
        <v>1584</v>
      </c>
      <c r="C90" s="5" t="s">
        <v>1585</v>
      </c>
      <c r="D90" s="7" t="s">
        <v>30</v>
      </c>
      <c r="E90" s="6">
        <v>40</v>
      </c>
    </row>
    <row r="91" spans="1:5" ht="22.5" customHeight="1" x14ac:dyDescent="0.2">
      <c r="A91" s="4">
        <v>13.1</v>
      </c>
      <c r="B91" s="5" t="s">
        <v>1586</v>
      </c>
      <c r="C91" s="5" t="s">
        <v>1587</v>
      </c>
      <c r="D91" s="7" t="s">
        <v>30</v>
      </c>
      <c r="E91" s="6">
        <v>40</v>
      </c>
    </row>
    <row r="92" spans="1:5" ht="22.5" customHeight="1" x14ac:dyDescent="0.2">
      <c r="A92" s="4">
        <v>13.11</v>
      </c>
      <c r="B92" s="5" t="s">
        <v>1588</v>
      </c>
      <c r="C92" s="5" t="s">
        <v>1589</v>
      </c>
      <c r="D92" s="7" t="s">
        <v>30</v>
      </c>
      <c r="E92" s="6">
        <v>40</v>
      </c>
    </row>
    <row r="93" spans="1:5" ht="22.5" customHeight="1" x14ac:dyDescent="0.2">
      <c r="A93" s="4">
        <v>13.12</v>
      </c>
      <c r="B93" s="5" t="s">
        <v>1590</v>
      </c>
      <c r="C93" s="5" t="s">
        <v>1591</v>
      </c>
      <c r="D93" s="7" t="s">
        <v>30</v>
      </c>
      <c r="E93" s="6">
        <v>40</v>
      </c>
    </row>
    <row r="94" spans="1:5" ht="22.5" customHeight="1" x14ac:dyDescent="0.2">
      <c r="A94" s="4">
        <v>13.13</v>
      </c>
      <c r="B94" s="5" t="s">
        <v>1592</v>
      </c>
      <c r="C94" s="5" t="s">
        <v>1593</v>
      </c>
      <c r="D94" s="7" t="s">
        <v>30</v>
      </c>
      <c r="E94" s="6">
        <v>40</v>
      </c>
    </row>
    <row r="95" spans="1:5" ht="22.5" customHeight="1" x14ac:dyDescent="0.2">
      <c r="A95" s="4">
        <v>13.14</v>
      </c>
      <c r="B95" s="5" t="s">
        <v>1594</v>
      </c>
      <c r="C95" s="5" t="s">
        <v>1595</v>
      </c>
      <c r="D95" s="7" t="s">
        <v>30</v>
      </c>
      <c r="E95" s="6">
        <v>16</v>
      </c>
    </row>
    <row r="96" spans="1:5" ht="22.5" customHeight="1" x14ac:dyDescent="0.2">
      <c r="A96" s="4">
        <v>13.15</v>
      </c>
      <c r="B96" s="5" t="s">
        <v>1596</v>
      </c>
      <c r="C96" s="5" t="s">
        <v>1597</v>
      </c>
      <c r="D96" s="7" t="s">
        <v>30</v>
      </c>
      <c r="E96" s="6">
        <v>16</v>
      </c>
    </row>
    <row r="97" spans="1:5" ht="22.5" customHeight="1" x14ac:dyDescent="0.2">
      <c r="A97" s="4">
        <v>14.1</v>
      </c>
      <c r="B97" s="5" t="s">
        <v>1598</v>
      </c>
      <c r="C97" s="5" t="s">
        <v>1599</v>
      </c>
      <c r="D97" s="7" t="s">
        <v>27</v>
      </c>
      <c r="E97" s="6">
        <v>16</v>
      </c>
    </row>
    <row r="98" spans="1:5" ht="22.5" customHeight="1" x14ac:dyDescent="0.2">
      <c r="A98" s="4">
        <v>14.2</v>
      </c>
      <c r="B98" s="5" t="s">
        <v>1600</v>
      </c>
      <c r="C98" s="5" t="s">
        <v>1601</v>
      </c>
      <c r="D98" s="7" t="s">
        <v>30</v>
      </c>
      <c r="E98" s="6">
        <v>40</v>
      </c>
    </row>
    <row r="99" spans="1:5" ht="22.5" customHeight="1" x14ac:dyDescent="0.2">
      <c r="A99" s="4">
        <v>14.3</v>
      </c>
      <c r="B99" s="5" t="s">
        <v>1422</v>
      </c>
      <c r="C99" s="5" t="s">
        <v>1423</v>
      </c>
      <c r="D99" s="7" t="s">
        <v>35</v>
      </c>
      <c r="E99" s="6">
        <v>100</v>
      </c>
    </row>
    <row r="100" spans="1:5" ht="22.5" customHeight="1" x14ac:dyDescent="0.2">
      <c r="A100" s="4">
        <v>14.4</v>
      </c>
      <c r="B100" s="5" t="s">
        <v>1602</v>
      </c>
      <c r="C100" s="5" t="s">
        <v>1603</v>
      </c>
      <c r="D100" s="7" t="s">
        <v>30</v>
      </c>
      <c r="E100" s="6">
        <v>40</v>
      </c>
    </row>
    <row r="101" spans="1:5" ht="22.5" customHeight="1" x14ac:dyDescent="0.2">
      <c r="A101" s="4">
        <v>14.5</v>
      </c>
      <c r="B101" s="5" t="s">
        <v>1426</v>
      </c>
      <c r="C101" s="5" t="s">
        <v>1427</v>
      </c>
      <c r="D101" s="7" t="s">
        <v>35</v>
      </c>
      <c r="E101" s="6">
        <v>100</v>
      </c>
    </row>
    <row r="102" spans="1:5" ht="22.5" customHeight="1" x14ac:dyDescent="0.2">
      <c r="A102" s="4">
        <v>14.6</v>
      </c>
      <c r="B102" s="5" t="s">
        <v>1604</v>
      </c>
      <c r="C102" s="5" t="s">
        <v>1605</v>
      </c>
      <c r="D102" s="7" t="s">
        <v>35</v>
      </c>
      <c r="E102" s="6">
        <v>100</v>
      </c>
    </row>
    <row r="103" spans="1:5" ht="22.5" customHeight="1" x14ac:dyDescent="0.2">
      <c r="A103" s="4">
        <v>14.7</v>
      </c>
      <c r="B103" s="5" t="s">
        <v>1606</v>
      </c>
      <c r="C103" s="5" t="s">
        <v>1607</v>
      </c>
      <c r="D103" s="7" t="s">
        <v>35</v>
      </c>
      <c r="E103" s="6">
        <v>100</v>
      </c>
    </row>
    <row r="104" spans="1:5" ht="22.5" customHeight="1" x14ac:dyDescent="0.2">
      <c r="A104" s="4">
        <v>14.8</v>
      </c>
      <c r="B104" s="5" t="s">
        <v>1430</v>
      </c>
      <c r="C104" s="5" t="s">
        <v>1431</v>
      </c>
      <c r="D104" s="7" t="s">
        <v>35</v>
      </c>
      <c r="E104" s="6">
        <v>100</v>
      </c>
    </row>
    <row r="105" spans="1:5" ht="22.5" customHeight="1" x14ac:dyDescent="0.2">
      <c r="A105" s="4">
        <v>14.9</v>
      </c>
      <c r="B105" s="5" t="s">
        <v>1608</v>
      </c>
      <c r="C105" s="5" t="s">
        <v>1609</v>
      </c>
      <c r="D105" s="7" t="s">
        <v>30</v>
      </c>
      <c r="E105" s="6">
        <v>40</v>
      </c>
    </row>
    <row r="106" spans="1:5" ht="22.5" customHeight="1" x14ac:dyDescent="0.2">
      <c r="A106" s="4">
        <v>14.1</v>
      </c>
      <c r="B106" s="5" t="s">
        <v>1434</v>
      </c>
      <c r="C106" s="5" t="s">
        <v>1435</v>
      </c>
      <c r="D106" s="7" t="s">
        <v>35</v>
      </c>
      <c r="E106" s="6">
        <v>100</v>
      </c>
    </row>
    <row r="107" spans="1:5" ht="22.5" customHeight="1" x14ac:dyDescent="0.2">
      <c r="A107" s="4">
        <v>14.11</v>
      </c>
      <c r="B107" s="5" t="s">
        <v>1610</v>
      </c>
      <c r="C107" s="5" t="s">
        <v>1611</v>
      </c>
      <c r="D107" s="7" t="s">
        <v>30</v>
      </c>
      <c r="E107" s="6">
        <v>40</v>
      </c>
    </row>
    <row r="108" spans="1:5" ht="22.5" customHeight="1" x14ac:dyDescent="0.2">
      <c r="A108" s="4">
        <v>14.12</v>
      </c>
      <c r="B108" s="5" t="s">
        <v>1438</v>
      </c>
      <c r="C108" s="5" t="s">
        <v>1439</v>
      </c>
      <c r="D108" s="7" t="s">
        <v>35</v>
      </c>
      <c r="E108" s="6">
        <v>100</v>
      </c>
    </row>
    <row r="109" spans="1:5" ht="22.5" customHeight="1" x14ac:dyDescent="0.2">
      <c r="A109" s="4">
        <v>14.13</v>
      </c>
      <c r="B109" s="5" t="s">
        <v>1612</v>
      </c>
      <c r="C109" s="5" t="s">
        <v>1613</v>
      </c>
      <c r="D109" s="7" t="s">
        <v>30</v>
      </c>
      <c r="E109" s="6">
        <v>40</v>
      </c>
    </row>
    <row r="110" spans="1:5" ht="22.5" customHeight="1" x14ac:dyDescent="0.2">
      <c r="A110" s="4">
        <v>14.14</v>
      </c>
      <c r="B110" s="5" t="s">
        <v>1614</v>
      </c>
      <c r="C110" s="5" t="s">
        <v>1615</v>
      </c>
      <c r="D110" s="7" t="s">
        <v>30</v>
      </c>
      <c r="E110" s="6">
        <v>40</v>
      </c>
    </row>
    <row r="111" spans="1:5" ht="22.5" customHeight="1" x14ac:dyDescent="0.2">
      <c r="A111" s="4">
        <v>14.15</v>
      </c>
      <c r="B111" s="5" t="s">
        <v>1616</v>
      </c>
      <c r="C111" s="5" t="s">
        <v>1617</v>
      </c>
      <c r="D111" s="7" t="s">
        <v>27</v>
      </c>
      <c r="E111" s="6">
        <v>16</v>
      </c>
    </row>
    <row r="112" spans="1:5" ht="22.5" customHeight="1" x14ac:dyDescent="0.2">
      <c r="A112" s="4">
        <v>14.16</v>
      </c>
      <c r="B112" s="5" t="s">
        <v>1618</v>
      </c>
      <c r="C112" s="5" t="s">
        <v>1619</v>
      </c>
      <c r="D112" s="7" t="s">
        <v>30</v>
      </c>
      <c r="E112" s="6">
        <v>40</v>
      </c>
    </row>
    <row r="113" spans="1:5" ht="22.5" customHeight="1" x14ac:dyDescent="0.2">
      <c r="A113" s="4">
        <v>14.17</v>
      </c>
      <c r="B113" s="5" t="s">
        <v>1620</v>
      </c>
      <c r="C113" s="5" t="s">
        <v>1621</v>
      </c>
      <c r="D113" s="7" t="s">
        <v>35</v>
      </c>
      <c r="E113" s="6">
        <v>100</v>
      </c>
    </row>
    <row r="114" spans="1:5" ht="22.5" customHeight="1" x14ac:dyDescent="0.2">
      <c r="A114" s="4">
        <v>14.18</v>
      </c>
      <c r="B114" s="5" t="s">
        <v>1622</v>
      </c>
      <c r="C114" s="5" t="s">
        <v>1623</v>
      </c>
      <c r="D114" s="7" t="s">
        <v>30</v>
      </c>
      <c r="E114" s="6">
        <v>40</v>
      </c>
    </row>
    <row r="115" spans="1:5" ht="22.5" customHeight="1" x14ac:dyDescent="0.2">
      <c r="A115" s="4">
        <v>14.19</v>
      </c>
      <c r="B115" s="5" t="s">
        <v>1624</v>
      </c>
      <c r="C115" s="5" t="s">
        <v>1625</v>
      </c>
      <c r="D115" s="7" t="s">
        <v>30</v>
      </c>
      <c r="E115" s="6">
        <v>40</v>
      </c>
    </row>
    <row r="116" spans="1:5" ht="22.5" customHeight="1" x14ac:dyDescent="0.2">
      <c r="A116" s="4">
        <v>14.2</v>
      </c>
      <c r="B116" s="5" t="s">
        <v>1442</v>
      </c>
      <c r="C116" s="5" t="s">
        <v>1443</v>
      </c>
      <c r="D116" s="7" t="s">
        <v>30</v>
      </c>
      <c r="E116" s="6">
        <v>40</v>
      </c>
    </row>
    <row r="117" spans="1:5" ht="22.5" customHeight="1" x14ac:dyDescent="0.2">
      <c r="A117" s="4">
        <v>14.21</v>
      </c>
      <c r="B117" s="5" t="s">
        <v>1446</v>
      </c>
      <c r="C117" s="5" t="s">
        <v>1447</v>
      </c>
      <c r="D117" s="7" t="s">
        <v>35</v>
      </c>
      <c r="E117" s="6">
        <v>100</v>
      </c>
    </row>
    <row r="118" spans="1:5" ht="22.5" customHeight="1" x14ac:dyDescent="0.2">
      <c r="A118" s="4">
        <v>14.22</v>
      </c>
      <c r="B118" s="5" t="s">
        <v>1626</v>
      </c>
      <c r="C118" s="5" t="s">
        <v>1627</v>
      </c>
      <c r="D118" s="7" t="s">
        <v>35</v>
      </c>
      <c r="E118" s="6">
        <v>40</v>
      </c>
    </row>
    <row r="119" spans="1:5" ht="22.5" customHeight="1" x14ac:dyDescent="0.2">
      <c r="A119" s="4">
        <v>14.23</v>
      </c>
      <c r="B119" s="5" t="s">
        <v>1628</v>
      </c>
      <c r="C119" s="5" t="s">
        <v>1629</v>
      </c>
      <c r="D119" s="7" t="s">
        <v>35</v>
      </c>
      <c r="E119" s="6">
        <v>24</v>
      </c>
    </row>
    <row r="120" spans="1:5" ht="22.5" customHeight="1" x14ac:dyDescent="0.2">
      <c r="A120" s="4">
        <v>14.24</v>
      </c>
      <c r="B120" s="5" t="s">
        <v>1630</v>
      </c>
      <c r="C120" s="5" t="s">
        <v>1631</v>
      </c>
      <c r="D120" s="7" t="s">
        <v>30</v>
      </c>
      <c r="E120" s="6">
        <v>16</v>
      </c>
    </row>
    <row r="121" spans="1:5" ht="22.5" customHeight="1" x14ac:dyDescent="0.2">
      <c r="A121" s="4">
        <v>14.25</v>
      </c>
      <c r="B121" s="5" t="s">
        <v>1632</v>
      </c>
      <c r="C121" s="5" t="s">
        <v>1633</v>
      </c>
      <c r="D121" s="7" t="s">
        <v>30</v>
      </c>
      <c r="E121" s="6">
        <v>16</v>
      </c>
    </row>
    <row r="122" spans="1:5" ht="22.5" customHeight="1" x14ac:dyDescent="0.2">
      <c r="A122" s="4">
        <v>14.26</v>
      </c>
      <c r="B122" s="5" t="s">
        <v>1634</v>
      </c>
      <c r="C122" s="5" t="s">
        <v>1635</v>
      </c>
      <c r="D122" s="7" t="s">
        <v>30</v>
      </c>
      <c r="E122" s="6">
        <v>16</v>
      </c>
    </row>
    <row r="123" spans="1:5" ht="22.5" customHeight="1" x14ac:dyDescent="0.2">
      <c r="A123" s="4">
        <v>14.27</v>
      </c>
      <c r="B123" s="5" t="s">
        <v>1636</v>
      </c>
      <c r="C123" s="5" t="s">
        <v>1637</v>
      </c>
      <c r="D123" s="7" t="s">
        <v>35</v>
      </c>
      <c r="E123" s="6">
        <v>24</v>
      </c>
    </row>
    <row r="124" spans="1:5" ht="22.5" customHeight="1" x14ac:dyDescent="0.2">
      <c r="A124" s="4">
        <v>15.1</v>
      </c>
      <c r="B124" s="5" t="s">
        <v>1638</v>
      </c>
      <c r="C124" s="5" t="s">
        <v>1639</v>
      </c>
      <c r="D124" s="7" t="s">
        <v>30</v>
      </c>
      <c r="E124" s="6">
        <v>40</v>
      </c>
    </row>
    <row r="125" spans="1:5" ht="22.5" customHeight="1" x14ac:dyDescent="0.2">
      <c r="A125" s="4">
        <v>15.2</v>
      </c>
      <c r="B125" s="5" t="s">
        <v>1640</v>
      </c>
      <c r="C125" s="5" t="s">
        <v>1641</v>
      </c>
      <c r="D125" s="7" t="s">
        <v>30</v>
      </c>
      <c r="E125" s="6">
        <v>40</v>
      </c>
    </row>
    <row r="126" spans="1:5" ht="22.5" customHeight="1" x14ac:dyDescent="0.2">
      <c r="A126" s="4">
        <v>15.3</v>
      </c>
      <c r="B126" s="5" t="s">
        <v>1642</v>
      </c>
      <c r="C126" s="5" t="s">
        <v>1643</v>
      </c>
      <c r="D126" s="7" t="s">
        <v>27</v>
      </c>
      <c r="E126" s="6">
        <v>16</v>
      </c>
    </row>
    <row r="127" spans="1:5" ht="22.5" customHeight="1" x14ac:dyDescent="0.2">
      <c r="A127" s="4">
        <v>15.4</v>
      </c>
      <c r="B127" s="5" t="s">
        <v>1644</v>
      </c>
      <c r="C127" s="5" t="s">
        <v>1645</v>
      </c>
      <c r="D127" s="7" t="s">
        <v>30</v>
      </c>
      <c r="E127" s="6">
        <v>40</v>
      </c>
    </row>
    <row r="128" spans="1:5" ht="22.5" customHeight="1" x14ac:dyDescent="0.2">
      <c r="A128" s="4">
        <v>15.5</v>
      </c>
      <c r="B128" s="5" t="s">
        <v>1646</v>
      </c>
      <c r="C128" s="5" t="s">
        <v>1647</v>
      </c>
      <c r="D128" s="7" t="s">
        <v>30</v>
      </c>
      <c r="E128" s="6">
        <v>40</v>
      </c>
    </row>
    <row r="129" spans="1:5" ht="22.5" customHeight="1" x14ac:dyDescent="0.2">
      <c r="A129" s="4">
        <v>15.6</v>
      </c>
      <c r="B129" s="5" t="s">
        <v>1648</v>
      </c>
      <c r="C129" s="5" t="s">
        <v>1649</v>
      </c>
      <c r="D129" s="7" t="s">
        <v>30</v>
      </c>
      <c r="E129" s="6">
        <v>40</v>
      </c>
    </row>
    <row r="130" spans="1:5" ht="22.5" customHeight="1" x14ac:dyDescent="0.2">
      <c r="A130" s="4">
        <v>15.7</v>
      </c>
      <c r="B130" s="5" t="s">
        <v>1650</v>
      </c>
      <c r="C130" s="5" t="s">
        <v>1651</v>
      </c>
      <c r="D130" s="7" t="s">
        <v>27</v>
      </c>
      <c r="E130" s="6">
        <v>16</v>
      </c>
    </row>
    <row r="131" spans="1:5" ht="22.5" customHeight="1" x14ac:dyDescent="0.2">
      <c r="A131" s="4">
        <v>15.8</v>
      </c>
      <c r="B131" s="5" t="s">
        <v>1652</v>
      </c>
      <c r="C131" s="5" t="s">
        <v>1653</v>
      </c>
      <c r="D131" s="7" t="s">
        <v>30</v>
      </c>
      <c r="E131" s="6">
        <v>40</v>
      </c>
    </row>
    <row r="132" spans="1:5" ht="22.5" customHeight="1" x14ac:dyDescent="0.2">
      <c r="A132" s="4">
        <v>15.9</v>
      </c>
      <c r="B132" s="5" t="s">
        <v>1654</v>
      </c>
      <c r="C132" s="5" t="s">
        <v>1655</v>
      </c>
      <c r="D132" s="7" t="s">
        <v>30</v>
      </c>
      <c r="E132" s="6">
        <v>16</v>
      </c>
    </row>
    <row r="133" spans="1:5" ht="22.5" customHeight="1" x14ac:dyDescent="0.2">
      <c r="A133" s="4">
        <v>15.1</v>
      </c>
      <c r="B133" s="5" t="s">
        <v>1656</v>
      </c>
      <c r="C133" s="5" t="s">
        <v>1657</v>
      </c>
      <c r="D133" s="7" t="s">
        <v>27</v>
      </c>
      <c r="E133" s="6">
        <v>8</v>
      </c>
    </row>
    <row r="134" spans="1:5" ht="22.5" customHeight="1" x14ac:dyDescent="0.2">
      <c r="A134" s="4">
        <v>16.100000000000001</v>
      </c>
      <c r="B134" s="5" t="s">
        <v>1658</v>
      </c>
      <c r="C134" s="5" t="s">
        <v>1659</v>
      </c>
      <c r="D134" s="7" t="s">
        <v>27</v>
      </c>
      <c r="E134" s="6">
        <v>16</v>
      </c>
    </row>
    <row r="135" spans="1:5" ht="22.5" customHeight="1" x14ac:dyDescent="0.2">
      <c r="A135" s="4">
        <v>16.2</v>
      </c>
      <c r="B135" s="5" t="s">
        <v>1660</v>
      </c>
      <c r="C135" s="5" t="s">
        <v>1661</v>
      </c>
      <c r="D135" s="7" t="s">
        <v>27</v>
      </c>
      <c r="E135" s="6">
        <v>16</v>
      </c>
    </row>
    <row r="136" spans="1:5" ht="22.5" customHeight="1" x14ac:dyDescent="0.2">
      <c r="A136" s="4">
        <v>16.3</v>
      </c>
      <c r="B136" s="5" t="s">
        <v>1662</v>
      </c>
      <c r="C136" s="5" t="s">
        <v>1663</v>
      </c>
      <c r="D136" s="7" t="s">
        <v>27</v>
      </c>
      <c r="E136" s="6">
        <v>16</v>
      </c>
    </row>
    <row r="137" spans="1:5" ht="22.5" customHeight="1" x14ac:dyDescent="0.2">
      <c r="A137" s="4">
        <v>16.399999999999999</v>
      </c>
      <c r="B137" s="5" t="s">
        <v>1664</v>
      </c>
      <c r="C137" s="5" t="s">
        <v>1665</v>
      </c>
      <c r="D137" s="7" t="s">
        <v>30</v>
      </c>
      <c r="E137" s="6">
        <v>40</v>
      </c>
    </row>
    <row r="138" spans="1:5" ht="22.5" customHeight="1" x14ac:dyDescent="0.2">
      <c r="A138" s="4">
        <v>16.5</v>
      </c>
      <c r="B138" s="5" t="s">
        <v>1666</v>
      </c>
      <c r="C138" s="5" t="s">
        <v>1667</v>
      </c>
      <c r="D138" s="7" t="s">
        <v>35</v>
      </c>
      <c r="E138" s="6">
        <v>100</v>
      </c>
    </row>
    <row r="139" spans="1:5" ht="22.5" customHeight="1" x14ac:dyDescent="0.2">
      <c r="A139" s="4">
        <v>16.600000000000001</v>
      </c>
      <c r="B139" s="5" t="s">
        <v>1668</v>
      </c>
      <c r="C139" s="5" t="s">
        <v>1669</v>
      </c>
      <c r="D139" s="7" t="s">
        <v>30</v>
      </c>
      <c r="E139" s="6">
        <v>40</v>
      </c>
    </row>
    <row r="140" spans="1:5" ht="22.5" customHeight="1" x14ac:dyDescent="0.2">
      <c r="A140" s="4">
        <v>16.7</v>
      </c>
      <c r="B140" s="5" t="s">
        <v>1670</v>
      </c>
      <c r="C140" s="5" t="s">
        <v>1671</v>
      </c>
      <c r="D140" s="7" t="s">
        <v>30</v>
      </c>
      <c r="E140" s="6">
        <v>40</v>
      </c>
    </row>
    <row r="141" spans="1:5" ht="22.5" customHeight="1" x14ac:dyDescent="0.2">
      <c r="A141" s="4">
        <v>16.8</v>
      </c>
      <c r="B141" s="5" t="s">
        <v>1672</v>
      </c>
      <c r="C141" s="5" t="s">
        <v>1673</v>
      </c>
      <c r="D141" s="7" t="s">
        <v>27</v>
      </c>
      <c r="E141" s="6">
        <v>16</v>
      </c>
    </row>
    <row r="142" spans="1:5" ht="22.5" customHeight="1" x14ac:dyDescent="0.2">
      <c r="A142" s="4">
        <v>17.100000000000001</v>
      </c>
      <c r="B142" s="5" t="s">
        <v>1674</v>
      </c>
      <c r="C142" s="5" t="s">
        <v>1675</v>
      </c>
      <c r="D142" s="7" t="s">
        <v>27</v>
      </c>
      <c r="E142" s="6">
        <v>16</v>
      </c>
    </row>
    <row r="143" spans="1:5" ht="22.5" customHeight="1" x14ac:dyDescent="0.2">
      <c r="A143" s="4">
        <v>17.2</v>
      </c>
      <c r="B143" s="5" t="s">
        <v>1676</v>
      </c>
      <c r="C143" s="5" t="s">
        <v>1677</v>
      </c>
      <c r="D143" s="7" t="s">
        <v>30</v>
      </c>
      <c r="E143" s="6">
        <v>40</v>
      </c>
    </row>
    <row r="144" spans="1:5" ht="22.5" customHeight="1" x14ac:dyDescent="0.2">
      <c r="A144" s="4">
        <v>17.3</v>
      </c>
      <c r="B144" s="5" t="s">
        <v>1678</v>
      </c>
      <c r="C144" s="5" t="s">
        <v>1679</v>
      </c>
      <c r="D144" s="7" t="s">
        <v>30</v>
      </c>
      <c r="E144" s="6">
        <v>40</v>
      </c>
    </row>
    <row r="145" spans="1:5" ht="22.5" customHeight="1" x14ac:dyDescent="0.2">
      <c r="A145" s="4">
        <v>17.399999999999999</v>
      </c>
      <c r="B145" s="5" t="s">
        <v>1450</v>
      </c>
      <c r="C145" s="5" t="s">
        <v>1451</v>
      </c>
      <c r="D145" s="7" t="s">
        <v>27</v>
      </c>
      <c r="E145" s="6">
        <v>16</v>
      </c>
    </row>
    <row r="146" spans="1:5" ht="22.5" customHeight="1" x14ac:dyDescent="0.2">
      <c r="A146" s="4">
        <v>18.100000000000001</v>
      </c>
      <c r="B146" s="5" t="s">
        <v>1680</v>
      </c>
      <c r="C146" s="5" t="s">
        <v>1681</v>
      </c>
      <c r="D146" s="7" t="s">
        <v>35</v>
      </c>
      <c r="E146" s="6">
        <v>100</v>
      </c>
    </row>
    <row r="147" spans="1:5" ht="22.5" customHeight="1" x14ac:dyDescent="0.2">
      <c r="A147" s="4">
        <v>18.2</v>
      </c>
      <c r="B147" s="5" t="s">
        <v>1682</v>
      </c>
      <c r="C147" s="5" t="s">
        <v>1683</v>
      </c>
      <c r="D147" s="7" t="s">
        <v>30</v>
      </c>
      <c r="E147" s="6">
        <v>40</v>
      </c>
    </row>
    <row r="148" spans="1:5" ht="22.5" customHeight="1" x14ac:dyDescent="0.2">
      <c r="A148" s="4">
        <v>18.3</v>
      </c>
      <c r="B148" s="5" t="s">
        <v>1684</v>
      </c>
      <c r="C148" s="5" t="s">
        <v>1685</v>
      </c>
      <c r="D148" s="7" t="s">
        <v>30</v>
      </c>
      <c r="E148" s="6">
        <v>40</v>
      </c>
    </row>
    <row r="149" spans="1:5" ht="22.5" customHeight="1" x14ac:dyDescent="0.2">
      <c r="A149" s="4">
        <v>18.399999999999999</v>
      </c>
      <c r="B149" s="5" t="s">
        <v>1686</v>
      </c>
      <c r="C149" s="5" t="s">
        <v>1687</v>
      </c>
      <c r="D149" s="7" t="s">
        <v>30</v>
      </c>
      <c r="E149" s="6">
        <v>40</v>
      </c>
    </row>
    <row r="150" spans="1:5" ht="22.5" customHeight="1" x14ac:dyDescent="0.2">
      <c r="A150" s="4">
        <v>18.5</v>
      </c>
      <c r="B150" s="5" t="s">
        <v>1454</v>
      </c>
      <c r="C150" s="5" t="s">
        <v>1455</v>
      </c>
      <c r="D150" s="7" t="s">
        <v>30</v>
      </c>
      <c r="E150" s="6">
        <v>40</v>
      </c>
    </row>
    <row r="151" spans="1:5" ht="22.5" customHeight="1" x14ac:dyDescent="0.2">
      <c r="A151" s="4">
        <v>18.600000000000001</v>
      </c>
      <c r="B151" s="5" t="s">
        <v>1688</v>
      </c>
      <c r="C151" s="5" t="s">
        <v>1689</v>
      </c>
      <c r="D151" s="7" t="s">
        <v>30</v>
      </c>
      <c r="E151" s="6">
        <v>40</v>
      </c>
    </row>
    <row r="152" spans="1:5" ht="22.5" customHeight="1" x14ac:dyDescent="0.2">
      <c r="A152" s="4">
        <v>18.7</v>
      </c>
      <c r="B152" s="5" t="s">
        <v>1690</v>
      </c>
      <c r="C152" s="5" t="s">
        <v>1691</v>
      </c>
      <c r="D152" s="7" t="s">
        <v>30</v>
      </c>
      <c r="E152" s="6">
        <v>40</v>
      </c>
    </row>
    <row r="153" spans="1:5" ht="22.5" customHeight="1" x14ac:dyDescent="0.2">
      <c r="A153" s="4">
        <v>19.100000000000001</v>
      </c>
      <c r="B153" s="5" t="s">
        <v>1692</v>
      </c>
      <c r="C153" s="5" t="s">
        <v>1693</v>
      </c>
      <c r="D153" s="7" t="s">
        <v>30</v>
      </c>
      <c r="E153" s="6">
        <v>16</v>
      </c>
    </row>
    <row r="154" spans="1:5" ht="22.5" customHeight="1" x14ac:dyDescent="0.2">
      <c r="A154" s="4">
        <v>19.2</v>
      </c>
      <c r="B154" s="5" t="s">
        <v>1694</v>
      </c>
      <c r="C154" s="5" t="s">
        <v>1695</v>
      </c>
      <c r="D154" s="7" t="s">
        <v>27</v>
      </c>
      <c r="E154" s="6">
        <v>8</v>
      </c>
    </row>
    <row r="155" spans="1:5" ht="22.5" customHeight="1" x14ac:dyDescent="0.2">
      <c r="A155" s="4">
        <v>19.3</v>
      </c>
      <c r="B155" s="5" t="s">
        <v>1696</v>
      </c>
      <c r="C155" s="5" t="s">
        <v>1697</v>
      </c>
      <c r="D155" s="7" t="s">
        <v>27</v>
      </c>
      <c r="E155" s="6">
        <v>8</v>
      </c>
    </row>
    <row r="156" spans="1:5" ht="22.5" customHeight="1" x14ac:dyDescent="0.2">
      <c r="A156" s="4">
        <v>19.399999999999999</v>
      </c>
      <c r="B156" s="5" t="s">
        <v>1698</v>
      </c>
      <c r="C156" s="5" t="s">
        <v>1699</v>
      </c>
      <c r="D156" s="7" t="s">
        <v>27</v>
      </c>
      <c r="E156" s="6">
        <v>8</v>
      </c>
    </row>
    <row r="157" spans="1:5" ht="22.5" customHeight="1" x14ac:dyDescent="0.2">
      <c r="A157" s="4">
        <v>19.5</v>
      </c>
      <c r="B157" s="5" t="s">
        <v>1700</v>
      </c>
      <c r="C157" s="5" t="s">
        <v>1701</v>
      </c>
      <c r="D157" s="7" t="s">
        <v>30</v>
      </c>
      <c r="E157" s="6">
        <v>16</v>
      </c>
    </row>
    <row r="158" spans="1:5" ht="22.5" customHeight="1" x14ac:dyDescent="0.2">
      <c r="A158" s="4">
        <v>19.600000000000001</v>
      </c>
      <c r="B158" s="5" t="s">
        <v>1702</v>
      </c>
      <c r="C158" s="5" t="s">
        <v>1703</v>
      </c>
      <c r="D158" s="7" t="s">
        <v>30</v>
      </c>
      <c r="E158" s="6">
        <v>16</v>
      </c>
    </row>
    <row r="159" spans="1:5" ht="22.5" customHeight="1" x14ac:dyDescent="0.2">
      <c r="A159" s="4">
        <v>19.7</v>
      </c>
      <c r="B159" s="5" t="s">
        <v>1704</v>
      </c>
      <c r="C159" s="5" t="s">
        <v>1705</v>
      </c>
      <c r="D159" s="7" t="s">
        <v>27</v>
      </c>
      <c r="E159" s="6">
        <v>8</v>
      </c>
    </row>
    <row r="160" spans="1:5" ht="22.5" customHeight="1" x14ac:dyDescent="0.2">
      <c r="A160" s="4">
        <v>19.8</v>
      </c>
      <c r="B160" s="5" t="s">
        <v>1706</v>
      </c>
      <c r="C160" s="5" t="s">
        <v>1707</v>
      </c>
      <c r="D160" s="7" t="s">
        <v>27</v>
      </c>
      <c r="E160" s="6">
        <v>8</v>
      </c>
    </row>
    <row r="161" spans="1:5" ht="22.5" customHeight="1" x14ac:dyDescent="0.2">
      <c r="A161" s="4">
        <v>19.899999999999999</v>
      </c>
      <c r="B161" s="5" t="s">
        <v>1458</v>
      </c>
      <c r="C161" s="5" t="s">
        <v>1459</v>
      </c>
      <c r="D161" s="7" t="s">
        <v>35</v>
      </c>
      <c r="E161" s="6">
        <v>24</v>
      </c>
    </row>
    <row r="162" spans="1:5" ht="22.5" customHeight="1" x14ac:dyDescent="0.2">
      <c r="A162" s="4">
        <v>19.100000000000001</v>
      </c>
      <c r="B162" s="5" t="s">
        <v>1708</v>
      </c>
      <c r="C162" s="5" t="s">
        <v>1709</v>
      </c>
      <c r="D162" s="7" t="s">
        <v>27</v>
      </c>
      <c r="E162" s="6">
        <v>8</v>
      </c>
    </row>
    <row r="163" spans="1:5" ht="22.5" customHeight="1" x14ac:dyDescent="0.2">
      <c r="A163" s="4">
        <v>19.11</v>
      </c>
      <c r="B163" s="5" t="s">
        <v>1710</v>
      </c>
      <c r="C163" s="5" t="s">
        <v>1711</v>
      </c>
      <c r="D163" s="7" t="s">
        <v>35</v>
      </c>
      <c r="E163" s="6">
        <v>24</v>
      </c>
    </row>
    <row r="164" spans="1:5" ht="22.5" customHeight="1" x14ac:dyDescent="0.2">
      <c r="A164" s="4">
        <v>19.12</v>
      </c>
      <c r="B164" s="5" t="s">
        <v>1712</v>
      </c>
      <c r="C164" s="5" t="s">
        <v>1713</v>
      </c>
      <c r="D164" s="7" t="s">
        <v>27</v>
      </c>
      <c r="E164" s="6">
        <v>8</v>
      </c>
    </row>
    <row r="165" spans="1:5" ht="22.5" customHeight="1" x14ac:dyDescent="0.2">
      <c r="A165" s="4">
        <v>19.13</v>
      </c>
      <c r="B165" s="5" t="s">
        <v>1714</v>
      </c>
      <c r="C165" s="5" t="s">
        <v>1715</v>
      </c>
      <c r="D165" s="7" t="s">
        <v>27</v>
      </c>
      <c r="E165" s="6">
        <v>8</v>
      </c>
    </row>
    <row r="166" spans="1:5" ht="22.5" customHeight="1" x14ac:dyDescent="0.2">
      <c r="A166" s="4">
        <v>19.14</v>
      </c>
      <c r="B166" s="5" t="s">
        <v>1716</v>
      </c>
      <c r="C166" s="5" t="s">
        <v>1717</v>
      </c>
      <c r="D166" s="7" t="s">
        <v>30</v>
      </c>
      <c r="E166" s="6">
        <v>16</v>
      </c>
    </row>
    <row r="167" spans="1:5" ht="22.5" customHeight="1" x14ac:dyDescent="0.2">
      <c r="A167" s="4">
        <v>19.149999999999999</v>
      </c>
      <c r="B167" s="5" t="s">
        <v>1718</v>
      </c>
      <c r="C167" s="5" t="s">
        <v>1719</v>
      </c>
      <c r="D167" s="7" t="s">
        <v>30</v>
      </c>
      <c r="E167" s="6">
        <v>16</v>
      </c>
    </row>
    <row r="168" spans="1:5" ht="22.5" customHeight="1" x14ac:dyDescent="0.2">
      <c r="A168" s="4">
        <v>19.16</v>
      </c>
      <c r="B168" s="5" t="s">
        <v>1720</v>
      </c>
      <c r="C168" s="5" t="s">
        <v>1721</v>
      </c>
      <c r="D168" s="7" t="s">
        <v>30</v>
      </c>
      <c r="E168" s="6">
        <v>16</v>
      </c>
    </row>
    <row r="169" spans="1:5" ht="22.5" customHeight="1" x14ac:dyDescent="0.2">
      <c r="A169" s="4">
        <v>19.170000000000002</v>
      </c>
      <c r="B169" s="5" t="s">
        <v>1722</v>
      </c>
      <c r="C169" s="5" t="s">
        <v>1723</v>
      </c>
      <c r="D169" s="7" t="s">
        <v>27</v>
      </c>
      <c r="E169" s="6">
        <v>8</v>
      </c>
    </row>
    <row r="170" spans="1:5" ht="22.5" customHeight="1" x14ac:dyDescent="0.2">
      <c r="A170" s="4">
        <v>19.18</v>
      </c>
      <c r="B170" s="5" t="s">
        <v>1724</v>
      </c>
      <c r="C170" s="5" t="s">
        <v>1725</v>
      </c>
      <c r="D170" s="7" t="s">
        <v>35</v>
      </c>
      <c r="E170" s="6">
        <v>24</v>
      </c>
    </row>
    <row r="171" spans="1:5" ht="22.5" customHeight="1" x14ac:dyDescent="0.2">
      <c r="A171" s="4">
        <v>19.190000000000001</v>
      </c>
      <c r="B171" s="5" t="s">
        <v>1726</v>
      </c>
      <c r="C171" s="5" t="s">
        <v>1727</v>
      </c>
      <c r="D171" s="7" t="s">
        <v>27</v>
      </c>
      <c r="E171" s="6">
        <v>8</v>
      </c>
    </row>
    <row r="172" spans="1:5" ht="22.5" customHeight="1" x14ac:dyDescent="0.2">
      <c r="A172" s="4">
        <v>19.2</v>
      </c>
      <c r="B172" s="5" t="s">
        <v>1728</v>
      </c>
      <c r="C172" s="5" t="s">
        <v>1729</v>
      </c>
      <c r="D172" s="7" t="s">
        <v>35</v>
      </c>
      <c r="E172" s="6">
        <v>24</v>
      </c>
    </row>
    <row r="173" spans="1:5" ht="22.5" customHeight="1" x14ac:dyDescent="0.2">
      <c r="A173" s="4">
        <v>19.21</v>
      </c>
      <c r="B173" s="5" t="s">
        <v>1730</v>
      </c>
      <c r="C173" s="5" t="s">
        <v>1731</v>
      </c>
      <c r="D173" s="7" t="s">
        <v>27</v>
      </c>
      <c r="E173" s="6">
        <v>8</v>
      </c>
    </row>
    <row r="174" spans="1:5" ht="22.5" customHeight="1" x14ac:dyDescent="0.2">
      <c r="A174" s="4">
        <v>19.22</v>
      </c>
      <c r="B174" s="5" t="s">
        <v>1732</v>
      </c>
      <c r="C174" s="5" t="s">
        <v>1733</v>
      </c>
      <c r="D174" s="7" t="s">
        <v>27</v>
      </c>
      <c r="E174" s="6">
        <v>8</v>
      </c>
    </row>
    <row r="175" spans="1:5" ht="22.5" customHeight="1" x14ac:dyDescent="0.2">
      <c r="A175" s="4">
        <v>20.100000000000001</v>
      </c>
      <c r="B175" s="5" t="s">
        <v>1734</v>
      </c>
      <c r="C175" s="5" t="s">
        <v>1735</v>
      </c>
      <c r="D175" s="7" t="s">
        <v>30</v>
      </c>
      <c r="E175" s="6">
        <v>40</v>
      </c>
    </row>
    <row r="176" spans="1:5" ht="22.5" customHeight="1" x14ac:dyDescent="0.2">
      <c r="A176" s="4">
        <v>20.2</v>
      </c>
      <c r="B176" s="5" t="s">
        <v>1736</v>
      </c>
      <c r="C176" s="5" t="s">
        <v>1737</v>
      </c>
      <c r="D176" s="7" t="s">
        <v>30</v>
      </c>
      <c r="E176" s="6">
        <v>40</v>
      </c>
    </row>
    <row r="177" spans="1:5" ht="22.5" customHeight="1" x14ac:dyDescent="0.2">
      <c r="A177" s="4">
        <v>20.3</v>
      </c>
      <c r="B177" s="5" t="s">
        <v>1738</v>
      </c>
      <c r="C177" s="5" t="s">
        <v>1739</v>
      </c>
      <c r="D177" s="7" t="s">
        <v>30</v>
      </c>
      <c r="E177" s="6">
        <v>40</v>
      </c>
    </row>
    <row r="178" spans="1:5" ht="22.5" customHeight="1" x14ac:dyDescent="0.2">
      <c r="A178" s="4">
        <v>20.399999999999999</v>
      </c>
      <c r="B178" s="5" t="s">
        <v>1740</v>
      </c>
      <c r="C178" s="5" t="s">
        <v>1741</v>
      </c>
      <c r="D178" s="7" t="s">
        <v>30</v>
      </c>
      <c r="E178" s="6">
        <v>40</v>
      </c>
    </row>
    <row r="179" spans="1:5" ht="22.5" customHeight="1" x14ac:dyDescent="0.2">
      <c r="A179" s="4">
        <v>20.5</v>
      </c>
      <c r="B179" s="5" t="s">
        <v>1742</v>
      </c>
      <c r="C179" s="5" t="s">
        <v>1743</v>
      </c>
      <c r="D179" s="7" t="s">
        <v>30</v>
      </c>
      <c r="E179" s="6">
        <v>40</v>
      </c>
    </row>
    <row r="180" spans="1:5" ht="22.5" customHeight="1" x14ac:dyDescent="0.2">
      <c r="A180" s="4">
        <v>20.6</v>
      </c>
      <c r="B180" s="5" t="s">
        <v>1744</v>
      </c>
      <c r="C180" s="5" t="s">
        <v>1745</v>
      </c>
      <c r="D180" s="7" t="s">
        <v>30</v>
      </c>
      <c r="E180" s="6">
        <v>40</v>
      </c>
    </row>
    <row r="181" spans="1:5" ht="22.5" customHeight="1" x14ac:dyDescent="0.2">
      <c r="A181" s="4">
        <v>20.7</v>
      </c>
      <c r="B181" s="5" t="s">
        <v>1746</v>
      </c>
      <c r="C181" s="5" t="s">
        <v>1747</v>
      </c>
      <c r="D181" s="7" t="s">
        <v>30</v>
      </c>
      <c r="E181" s="6">
        <v>40</v>
      </c>
    </row>
    <row r="182" spans="1:5" ht="22.5" customHeight="1" x14ac:dyDescent="0.2">
      <c r="A182" s="4">
        <v>20.8</v>
      </c>
      <c r="B182" s="5" t="s">
        <v>1748</v>
      </c>
      <c r="C182" s="5" t="s">
        <v>1749</v>
      </c>
      <c r="D182" s="7" t="s">
        <v>30</v>
      </c>
      <c r="E182" s="6">
        <v>40</v>
      </c>
    </row>
    <row r="183" spans="1:5" ht="22.5" customHeight="1" x14ac:dyDescent="0.2">
      <c r="A183" s="4">
        <v>20.9</v>
      </c>
      <c r="B183" s="5" t="s">
        <v>1750</v>
      </c>
      <c r="C183" s="5" t="s">
        <v>1751</v>
      </c>
      <c r="D183" s="7" t="s">
        <v>27</v>
      </c>
      <c r="E183" s="6">
        <v>16</v>
      </c>
    </row>
    <row r="184" spans="1:5" ht="22.5" customHeight="1" x14ac:dyDescent="0.2">
      <c r="A184" s="4">
        <v>20.100000000000001</v>
      </c>
      <c r="B184" s="5" t="s">
        <v>1752</v>
      </c>
      <c r="C184" s="5" t="s">
        <v>1753</v>
      </c>
      <c r="D184" s="7" t="s">
        <v>30</v>
      </c>
      <c r="E184" s="6">
        <v>40</v>
      </c>
    </row>
    <row r="185" spans="1:5" ht="22.5" customHeight="1" x14ac:dyDescent="0.2">
      <c r="A185" s="4">
        <v>20.11</v>
      </c>
      <c r="B185" s="5" t="s">
        <v>1754</v>
      </c>
      <c r="C185" s="5" t="s">
        <v>1755</v>
      </c>
      <c r="D185" s="7" t="s">
        <v>27</v>
      </c>
      <c r="E185" s="6">
        <v>16</v>
      </c>
    </row>
    <row r="186" spans="1:5" ht="22.5" customHeight="1" x14ac:dyDescent="0.2">
      <c r="A186" s="4">
        <v>20.12</v>
      </c>
      <c r="B186" s="5" t="s">
        <v>1756</v>
      </c>
      <c r="C186" s="5" t="s">
        <v>1757</v>
      </c>
      <c r="D186" s="7" t="s">
        <v>30</v>
      </c>
      <c r="E186" s="6">
        <v>40</v>
      </c>
    </row>
    <row r="187" spans="1:5" ht="22.5" customHeight="1" x14ac:dyDescent="0.2">
      <c r="A187" s="4">
        <v>20.13</v>
      </c>
      <c r="B187" s="5" t="s">
        <v>1758</v>
      </c>
      <c r="C187" s="5" t="s">
        <v>1759</v>
      </c>
      <c r="D187" s="7" t="s">
        <v>27</v>
      </c>
      <c r="E187" s="6">
        <v>16</v>
      </c>
    </row>
    <row r="188" spans="1:5" ht="22.5" customHeight="1" x14ac:dyDescent="0.2">
      <c r="A188" s="4">
        <v>20.14</v>
      </c>
      <c r="B188" s="5" t="s">
        <v>1760</v>
      </c>
      <c r="C188" s="5" t="s">
        <v>1761</v>
      </c>
      <c r="D188" s="7" t="s">
        <v>27</v>
      </c>
      <c r="E188" s="6">
        <v>16</v>
      </c>
    </row>
    <row r="189" spans="1:5" ht="22.5" customHeight="1" x14ac:dyDescent="0.2">
      <c r="A189" s="4">
        <v>20.149999999999999</v>
      </c>
      <c r="B189" s="5" t="s">
        <v>1762</v>
      </c>
      <c r="C189" s="5" t="s">
        <v>1763</v>
      </c>
      <c r="D189" s="7" t="s">
        <v>30</v>
      </c>
      <c r="E189" s="6">
        <v>40</v>
      </c>
    </row>
    <row r="190" spans="1:5" ht="22.5" customHeight="1" x14ac:dyDescent="0.2">
      <c r="A190" s="4">
        <v>20.16</v>
      </c>
      <c r="B190" s="5" t="s">
        <v>1764</v>
      </c>
      <c r="C190" s="5" t="s">
        <v>1765</v>
      </c>
      <c r="D190" s="7" t="s">
        <v>30</v>
      </c>
      <c r="E190" s="6">
        <v>40</v>
      </c>
    </row>
    <row r="191" spans="1:5" ht="22.5" customHeight="1" x14ac:dyDescent="0.2">
      <c r="A191" s="4">
        <v>20.170000000000002</v>
      </c>
      <c r="B191" s="5" t="s">
        <v>1766</v>
      </c>
      <c r="C191" s="5" t="s">
        <v>1767</v>
      </c>
      <c r="D191" s="7" t="s">
        <v>30</v>
      </c>
      <c r="E191" s="6">
        <v>40</v>
      </c>
    </row>
    <row r="192" spans="1:5" ht="22.5" customHeight="1" x14ac:dyDescent="0.2">
      <c r="A192" s="4">
        <v>21.1</v>
      </c>
      <c r="B192" s="5" t="s">
        <v>1768</v>
      </c>
      <c r="C192" s="5" t="s">
        <v>1769</v>
      </c>
      <c r="D192" s="7" t="s">
        <v>30</v>
      </c>
      <c r="E192" s="6">
        <v>40</v>
      </c>
    </row>
    <row r="193" spans="1:5" ht="22.5" customHeight="1" x14ac:dyDescent="0.2">
      <c r="A193" s="4">
        <v>21.2</v>
      </c>
      <c r="B193" s="5" t="s">
        <v>1770</v>
      </c>
      <c r="C193" s="5" t="s">
        <v>1771</v>
      </c>
      <c r="D193" s="7" t="s">
        <v>27</v>
      </c>
      <c r="E193" s="6">
        <v>16</v>
      </c>
    </row>
    <row r="194" spans="1:5" ht="22.5" customHeight="1" x14ac:dyDescent="0.2">
      <c r="A194" s="4">
        <v>21.3</v>
      </c>
      <c r="B194" s="5" t="s">
        <v>1772</v>
      </c>
      <c r="C194" s="5" t="s">
        <v>1773</v>
      </c>
      <c r="D194" s="7" t="s">
        <v>30</v>
      </c>
      <c r="E194" s="6">
        <v>40</v>
      </c>
    </row>
    <row r="195" spans="1:5" ht="22.5" customHeight="1" x14ac:dyDescent="0.2">
      <c r="A195" s="4">
        <v>21.4</v>
      </c>
      <c r="B195" s="5" t="s">
        <v>1774</v>
      </c>
      <c r="C195" s="5" t="s">
        <v>1775</v>
      </c>
      <c r="D195" s="7" t="s">
        <v>30</v>
      </c>
      <c r="E195" s="6">
        <v>40</v>
      </c>
    </row>
    <row r="196" spans="1:5" ht="22.5" customHeight="1" x14ac:dyDescent="0.2">
      <c r="A196" s="4">
        <v>21.5</v>
      </c>
      <c r="B196" s="5" t="s">
        <v>1776</v>
      </c>
      <c r="C196" s="5" t="s">
        <v>1777</v>
      </c>
      <c r="D196" s="7" t="s">
        <v>30</v>
      </c>
      <c r="E196" s="6">
        <v>40</v>
      </c>
    </row>
    <row r="197" spans="1:5" ht="22.5" customHeight="1" x14ac:dyDescent="0.2">
      <c r="A197" s="4">
        <v>21.6</v>
      </c>
      <c r="B197" s="5" t="s">
        <v>1778</v>
      </c>
      <c r="C197" s="5" t="s">
        <v>1779</v>
      </c>
      <c r="D197" s="7" t="s">
        <v>27</v>
      </c>
      <c r="E197" s="6">
        <v>16</v>
      </c>
    </row>
    <row r="198" spans="1:5" ht="22.5" customHeight="1" x14ac:dyDescent="0.2">
      <c r="A198" s="4">
        <v>21.7</v>
      </c>
      <c r="B198" s="5" t="s">
        <v>1780</v>
      </c>
      <c r="C198" s="5" t="s">
        <v>1781</v>
      </c>
      <c r="D198" s="7" t="s">
        <v>30</v>
      </c>
      <c r="E198" s="6">
        <v>40</v>
      </c>
    </row>
    <row r="199" spans="1:5" ht="22.5" customHeight="1" x14ac:dyDescent="0.2">
      <c r="A199" s="4">
        <v>21.8</v>
      </c>
      <c r="B199" s="5" t="s">
        <v>1460</v>
      </c>
      <c r="C199" s="5" t="s">
        <v>1461</v>
      </c>
      <c r="D199" s="7" t="s">
        <v>30</v>
      </c>
      <c r="E199" s="6">
        <v>16</v>
      </c>
    </row>
    <row r="200" spans="1:5" ht="22.5" customHeight="1" x14ac:dyDescent="0.2">
      <c r="A200" s="4">
        <v>21.9</v>
      </c>
      <c r="B200" s="5" t="s">
        <v>1464</v>
      </c>
      <c r="C200" s="5" t="s">
        <v>1465</v>
      </c>
      <c r="D200" s="7" t="s">
        <v>27</v>
      </c>
      <c r="E200" s="6">
        <v>8</v>
      </c>
    </row>
    <row r="201" spans="1:5" ht="22.5" customHeight="1" x14ac:dyDescent="0.2">
      <c r="A201" s="4">
        <v>22.1</v>
      </c>
      <c r="B201" s="5" t="s">
        <v>1782</v>
      </c>
      <c r="C201" s="5" t="s">
        <v>1783</v>
      </c>
      <c r="D201" s="7" t="s">
        <v>30</v>
      </c>
      <c r="E201" s="6">
        <v>40</v>
      </c>
    </row>
    <row r="202" spans="1:5" ht="22.5" customHeight="1" x14ac:dyDescent="0.2">
      <c r="A202" s="4">
        <v>22.2</v>
      </c>
      <c r="B202" s="5" t="s">
        <v>1784</v>
      </c>
      <c r="C202" s="5" t="s">
        <v>1785</v>
      </c>
      <c r="D202" s="7" t="s">
        <v>30</v>
      </c>
      <c r="E202" s="6">
        <v>16</v>
      </c>
    </row>
    <row r="203" spans="1:5" ht="22.5" customHeight="1" x14ac:dyDescent="0.2">
      <c r="A203" s="4">
        <v>22.3</v>
      </c>
      <c r="B203" s="5" t="s">
        <v>1786</v>
      </c>
      <c r="C203" s="5" t="s">
        <v>1787</v>
      </c>
      <c r="D203" s="7" t="s">
        <v>27</v>
      </c>
      <c r="E203" s="6">
        <v>8</v>
      </c>
    </row>
    <row r="204" spans="1:5" ht="22.5" customHeight="1" x14ac:dyDescent="0.2">
      <c r="A204" s="4">
        <v>22.4</v>
      </c>
      <c r="B204" s="5" t="s">
        <v>1788</v>
      </c>
      <c r="C204" s="5" t="s">
        <v>1789</v>
      </c>
      <c r="D204" s="7" t="s">
        <v>30</v>
      </c>
      <c r="E204" s="6">
        <v>16</v>
      </c>
    </row>
    <row r="205" spans="1:5" ht="22.5" customHeight="1" x14ac:dyDescent="0.2">
      <c r="A205" s="4">
        <v>22.5</v>
      </c>
      <c r="B205" s="5" t="s">
        <v>1790</v>
      </c>
      <c r="C205" s="5" t="s">
        <v>1791</v>
      </c>
      <c r="D205" s="7" t="s">
        <v>30</v>
      </c>
      <c r="E205" s="6">
        <v>16</v>
      </c>
    </row>
    <row r="206" spans="1:5" ht="22.5" customHeight="1" x14ac:dyDescent="0.2">
      <c r="A206" s="4">
        <v>23.1</v>
      </c>
      <c r="B206" s="5" t="s">
        <v>1792</v>
      </c>
      <c r="C206" s="5" t="s">
        <v>1793</v>
      </c>
      <c r="D206" s="7" t="s">
        <v>27</v>
      </c>
      <c r="E206" s="6">
        <v>16</v>
      </c>
    </row>
    <row r="207" spans="1:5" ht="22.5" customHeight="1" x14ac:dyDescent="0.2">
      <c r="A207" s="4">
        <v>23.2</v>
      </c>
      <c r="B207" s="5" t="s">
        <v>1794</v>
      </c>
      <c r="C207" s="5" t="s">
        <v>1795</v>
      </c>
      <c r="D207" s="7" t="s">
        <v>27</v>
      </c>
      <c r="E207" s="6">
        <v>8</v>
      </c>
    </row>
    <row r="208" spans="1:5" ht="22.5" customHeight="1" x14ac:dyDescent="0.2">
      <c r="A208" s="4">
        <v>23.3</v>
      </c>
      <c r="B208" s="5" t="s">
        <v>1796</v>
      </c>
      <c r="C208" s="5" t="s">
        <v>1797</v>
      </c>
      <c r="D208" s="7" t="s">
        <v>27</v>
      </c>
      <c r="E208" s="6">
        <v>8</v>
      </c>
    </row>
    <row r="209" spans="1:5" ht="22.5" customHeight="1" x14ac:dyDescent="0.2">
      <c r="A209" s="4">
        <v>23.4</v>
      </c>
      <c r="B209" s="5" t="s">
        <v>1798</v>
      </c>
      <c r="C209" s="5" t="s">
        <v>1799</v>
      </c>
      <c r="D209" s="7" t="s">
        <v>30</v>
      </c>
      <c r="E209" s="6">
        <v>16</v>
      </c>
    </row>
    <row r="210" spans="1:5" ht="22.5" customHeight="1" x14ac:dyDescent="0.2">
      <c r="A210" s="4" t="s">
        <v>54</v>
      </c>
      <c r="B210" s="5" t="s">
        <v>1468</v>
      </c>
      <c r="C210" s="5" t="s">
        <v>1469</v>
      </c>
      <c r="D210" s="7" t="s">
        <v>30</v>
      </c>
      <c r="E210" s="6">
        <v>40</v>
      </c>
    </row>
    <row r="211" spans="1:5" ht="22.5" customHeight="1" x14ac:dyDescent="0.2">
      <c r="A211" s="4" t="s">
        <v>339</v>
      </c>
      <c r="B211" s="5" t="s">
        <v>1800</v>
      </c>
      <c r="C211" s="5" t="s">
        <v>1801</v>
      </c>
      <c r="D211" s="7" t="s">
        <v>35</v>
      </c>
      <c r="E211" s="6">
        <v>100</v>
      </c>
    </row>
    <row r="212" spans="1:5" ht="22.5" customHeight="1" x14ac:dyDescent="0.2">
      <c r="A212" s="4" t="s">
        <v>342</v>
      </c>
      <c r="B212" s="5" t="s">
        <v>1802</v>
      </c>
      <c r="C212" s="5" t="s">
        <v>1803</v>
      </c>
      <c r="D212" s="7" t="s">
        <v>35</v>
      </c>
      <c r="E212" s="6">
        <v>100</v>
      </c>
    </row>
    <row r="213" spans="1:5" ht="22.5" customHeight="1" x14ac:dyDescent="0.2">
      <c r="A213" s="4" t="s">
        <v>59</v>
      </c>
      <c r="B213" s="5" t="s">
        <v>1804</v>
      </c>
      <c r="C213" s="5" t="s">
        <v>1805</v>
      </c>
      <c r="D213" s="7" t="s">
        <v>35</v>
      </c>
      <c r="E213" s="6">
        <v>100</v>
      </c>
    </row>
    <row r="214" spans="1:5" ht="22.5" customHeight="1" x14ac:dyDescent="0.2">
      <c r="A214" s="4" t="s">
        <v>64</v>
      </c>
      <c r="B214" s="5" t="s">
        <v>1369</v>
      </c>
      <c r="C214" s="5" t="s">
        <v>1806</v>
      </c>
      <c r="D214" s="7" t="s">
        <v>27</v>
      </c>
      <c r="E214" s="6">
        <v>16</v>
      </c>
    </row>
    <row r="215" spans="1:5" ht="22.5" customHeight="1" x14ac:dyDescent="0.2">
      <c r="A215" s="4" t="s">
        <v>69</v>
      </c>
      <c r="B215" s="5" t="s">
        <v>1371</v>
      </c>
      <c r="C215" s="5" t="s">
        <v>1807</v>
      </c>
      <c r="D215" s="7" t="s">
        <v>30</v>
      </c>
      <c r="E215" s="6">
        <v>40</v>
      </c>
    </row>
    <row r="216" spans="1:5" ht="22.5" customHeight="1" x14ac:dyDescent="0.2">
      <c r="A216" s="4" t="s">
        <v>74</v>
      </c>
      <c r="B216" s="5" t="s">
        <v>1373</v>
      </c>
      <c r="C216" s="5" t="s">
        <v>1808</v>
      </c>
      <c r="D216" s="7" t="s">
        <v>30</v>
      </c>
      <c r="E216" s="6">
        <v>40</v>
      </c>
    </row>
    <row r="217" spans="1:5" ht="22.5" customHeight="1" x14ac:dyDescent="0.2">
      <c r="A217" s="4" t="s">
        <v>345</v>
      </c>
      <c r="B217" s="5" t="s">
        <v>1809</v>
      </c>
      <c r="C217" s="5" t="s">
        <v>1810</v>
      </c>
      <c r="D217" s="7" t="s">
        <v>35</v>
      </c>
      <c r="E217" s="6">
        <v>100</v>
      </c>
    </row>
    <row r="218" spans="1:5" ht="22.5" customHeight="1" x14ac:dyDescent="0.2">
      <c r="A218" s="4" t="s">
        <v>348</v>
      </c>
      <c r="B218" s="5" t="s">
        <v>1472</v>
      </c>
      <c r="C218" s="5" t="s">
        <v>1473</v>
      </c>
      <c r="D218" s="7" t="s">
        <v>30</v>
      </c>
      <c r="E218" s="6">
        <v>40</v>
      </c>
    </row>
    <row r="219" spans="1:5" ht="22.5" customHeight="1" x14ac:dyDescent="0.2">
      <c r="A219" s="4" t="s">
        <v>351</v>
      </c>
      <c r="B219" s="5" t="s">
        <v>1811</v>
      </c>
      <c r="C219" s="5" t="s">
        <v>1812</v>
      </c>
      <c r="D219" s="7" t="s">
        <v>30</v>
      </c>
      <c r="E219" s="6">
        <v>40</v>
      </c>
    </row>
    <row r="220" spans="1:5" ht="22.5" customHeight="1" x14ac:dyDescent="0.2">
      <c r="A220" s="4" t="s">
        <v>354</v>
      </c>
      <c r="B220" s="5" t="s">
        <v>1813</v>
      </c>
      <c r="C220" s="5" t="s">
        <v>1814</v>
      </c>
      <c r="D220" s="7" t="s">
        <v>35</v>
      </c>
      <c r="E220" s="6">
        <v>100</v>
      </c>
    </row>
    <row r="221" spans="1:5" ht="22.5" customHeight="1" x14ac:dyDescent="0.2">
      <c r="A221" s="4" t="s">
        <v>357</v>
      </c>
      <c r="B221" s="5" t="s">
        <v>1476</v>
      </c>
      <c r="C221" s="5" t="s">
        <v>1477</v>
      </c>
      <c r="D221" s="7" t="s">
        <v>35</v>
      </c>
      <c r="E221" s="6">
        <v>100</v>
      </c>
    </row>
    <row r="222" spans="1:5" ht="22.5" customHeight="1" x14ac:dyDescent="0.2">
      <c r="A222" s="4" t="s">
        <v>79</v>
      </c>
      <c r="B222" s="5" t="s">
        <v>1815</v>
      </c>
      <c r="C222" s="5" t="s">
        <v>1816</v>
      </c>
      <c r="D222" s="7" t="s">
        <v>27</v>
      </c>
      <c r="E222" s="6">
        <v>16</v>
      </c>
    </row>
    <row r="223" spans="1:5" ht="22.5" customHeight="1" x14ac:dyDescent="0.2">
      <c r="A223" s="18">
        <f>COUNTA(Detailed_Analysis_5[Step Num])</f>
        <v>216</v>
      </c>
      <c r="B223" s="18"/>
      <c r="C223" s="18"/>
      <c r="D223" s="18"/>
      <c r="E223" s="18">
        <f>SUM(Detailed_Analysis_5[Effort Hours (hrs)])</f>
        <v>8184</v>
      </c>
    </row>
  </sheetData>
  <mergeCells count="2">
    <mergeCell ref="A1:K1"/>
    <mergeCell ref="A2:K2"/>
  </mergeCells>
  <conditionalFormatting sqref="D7:D222">
    <cfRule type="cellIs" dxfId="28" priority="1" operator="equal">
      <formula>"HIGH"</formula>
    </cfRule>
    <cfRule type="cellIs" dxfId="27" priority="2" operator="equal">
      <formula>"MEDIUM"</formula>
    </cfRule>
    <cfRule type="cellIs" dxfId="26" priority="3" operator="equal">
      <formula>"LOW"</formula>
    </cfRule>
  </conditionalFormatting>
  <conditionalFormatting sqref="J7:J35">
    <cfRule type="cellIs" dxfId="25" priority="4" operator="equal">
      <formula>"HIGH"</formula>
    </cfRule>
    <cfRule type="cellIs" dxfId="24" priority="5" operator="equal">
      <formula>"MEDIUM"</formula>
    </cfRule>
    <cfRule type="cellIs" dxfId="23" priority="6" operator="equal">
      <formula>"LOW"</formula>
    </cfRule>
  </conditionalFormatting>
  <dataValidations count="2">
    <dataValidation type="custom" allowBlank="1" showDropDown="1" sqref="O3:P4 G7:G35 K7:K35 A7:A222 E7:E222" xr:uid="{00000000-0002-0000-0500-000000000000}">
      <formula1>AND(ISNUMBER(A3),(NOT(OR(NOT(ISERROR(DATEVALUE(A3))), AND(ISNUMBER(A3), LEFT(CELL("format", A3))="D")))))</formula1>
    </dataValidation>
    <dataValidation type="list" allowBlank="1" sqref="J7:J35 D7:D222" xr:uid="{00000000-0002-0000-0500-000001000000}">
      <formula1>"LOW,MEDIUM,HIGH"</formula1>
    </dataValidation>
  </dataValidations>
  <pageMargins left="0.7" right="0.7" top="0.75" bottom="0.75" header="0.3" footer="0.3"/>
  <ignoredErrors>
    <ignoredError sqref="G31:G33 A210:A222 G34:G35" listDataValidation="1"/>
  </ignoredErrors>
  <tableParts count="3">
    <tablePart r:id="rId1"/>
    <tablePart r:id="rId2"/>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P393"/>
  <sheetViews>
    <sheetView workbookViewId="0">
      <selection activeCell="G394" sqref="G394"/>
    </sheetView>
  </sheetViews>
  <sheetFormatPr defaultColWidth="12.5703125" defaultRowHeight="15.75" customHeight="1" x14ac:dyDescent="0.2"/>
  <cols>
    <col min="1" max="1" width="12.5703125" style="21"/>
    <col min="2" max="2" width="28.42578125" style="21" customWidth="1"/>
    <col min="3" max="3" width="69.140625" style="21" customWidth="1"/>
    <col min="4" max="7" width="12.5703125" style="21"/>
    <col min="8" max="8" width="27.42578125" style="21" customWidth="1"/>
    <col min="9" max="9" width="83.140625" style="21" customWidth="1"/>
    <col min="10" max="13" width="12.5703125" style="21"/>
    <col min="14" max="14" width="21.28515625" style="21" customWidth="1"/>
    <col min="15" max="15" width="18.42578125" style="21" customWidth="1"/>
    <col min="16" max="16" width="25.42578125" style="21" customWidth="1"/>
    <col min="17" max="16384" width="12.5703125" style="21"/>
  </cols>
  <sheetData>
    <row r="1" spans="1:16" ht="38.25" x14ac:dyDescent="0.2">
      <c r="A1" s="25" t="s">
        <v>1817</v>
      </c>
      <c r="B1" s="26"/>
      <c r="C1" s="26"/>
      <c r="D1" s="26"/>
      <c r="E1" s="26"/>
      <c r="F1" s="26"/>
      <c r="G1" s="26"/>
      <c r="H1" s="26"/>
      <c r="I1" s="26"/>
      <c r="J1" s="26"/>
      <c r="K1" s="26"/>
    </row>
    <row r="2" spans="1:16" ht="22.5" customHeight="1" x14ac:dyDescent="0.4">
      <c r="A2" s="27" t="s">
        <v>1818</v>
      </c>
      <c r="B2" s="26"/>
      <c r="C2" s="26"/>
      <c r="D2" s="26"/>
      <c r="E2" s="26"/>
      <c r="F2" s="26"/>
      <c r="G2" s="26"/>
      <c r="H2" s="26"/>
      <c r="I2" s="26"/>
      <c r="J2" s="26"/>
      <c r="K2" s="26"/>
      <c r="N2" s="15" t="s">
        <v>17</v>
      </c>
      <c r="O2" s="15" t="s">
        <v>18</v>
      </c>
      <c r="P2" s="15" t="s">
        <v>3</v>
      </c>
    </row>
    <row r="3" spans="1:16" ht="22.5" customHeight="1" x14ac:dyDescent="0.2">
      <c r="A3" s="1"/>
      <c r="B3" s="1"/>
      <c r="C3" s="2"/>
      <c r="D3" s="1"/>
      <c r="E3" s="2"/>
      <c r="F3" s="1"/>
      <c r="G3" s="1"/>
      <c r="H3" s="1"/>
      <c r="I3" s="2"/>
      <c r="J3" s="1"/>
      <c r="K3" s="2"/>
      <c r="N3" s="18" t="s">
        <v>19</v>
      </c>
      <c r="O3" s="18">
        <f>Detailed_Analysis_6[[#Totals],[Step Num]]</f>
        <v>386</v>
      </c>
      <c r="P3" s="18">
        <f>Detailed_Analysis_6[[#Totals],[Effort Hours (hrs)]]</f>
        <v>20024</v>
      </c>
    </row>
    <row r="4" spans="1:16" ht="22.5" customHeight="1" x14ac:dyDescent="0.2">
      <c r="A4" s="1"/>
      <c r="B4" s="1"/>
      <c r="C4" s="2"/>
      <c r="D4" s="1"/>
      <c r="E4" s="2"/>
      <c r="F4" s="1"/>
      <c r="G4" s="1"/>
      <c r="H4" s="1"/>
      <c r="I4" s="2"/>
      <c r="J4" s="1"/>
      <c r="K4" s="2"/>
      <c r="N4" s="18" t="s">
        <v>20</v>
      </c>
      <c r="O4" s="18">
        <f>Streamlined_Analysis_6[[#Totals],[Step Num]]</f>
        <v>23</v>
      </c>
      <c r="P4" s="18">
        <f>Streamlined_Analysis_6[[#Totals],[Effort Hours (hrs)]]</f>
        <v>1256</v>
      </c>
    </row>
    <row r="5" spans="1:16" ht="12.75" x14ac:dyDescent="0.2">
      <c r="A5" s="1"/>
      <c r="B5" s="1"/>
      <c r="C5" s="2"/>
      <c r="D5" s="1"/>
      <c r="E5" s="2"/>
      <c r="F5" s="1"/>
      <c r="G5" s="1"/>
      <c r="H5" s="1"/>
      <c r="I5" s="2"/>
      <c r="J5" s="1"/>
      <c r="K5" s="2"/>
    </row>
    <row r="6" spans="1:16" ht="29.25" customHeight="1" x14ac:dyDescent="0.2">
      <c r="A6" s="15" t="s">
        <v>21</v>
      </c>
      <c r="B6" s="15" t="s">
        <v>22</v>
      </c>
      <c r="C6" s="16" t="s">
        <v>23</v>
      </c>
      <c r="D6" s="15" t="s">
        <v>24</v>
      </c>
      <c r="E6" s="16" t="s">
        <v>3</v>
      </c>
      <c r="F6" s="1"/>
      <c r="G6" s="15" t="s">
        <v>21</v>
      </c>
      <c r="H6" s="15" t="s">
        <v>22</v>
      </c>
      <c r="I6" s="16" t="s">
        <v>23</v>
      </c>
      <c r="J6" s="15" t="s">
        <v>24</v>
      </c>
      <c r="K6" s="16" t="s">
        <v>3</v>
      </c>
    </row>
    <row r="7" spans="1:16" ht="22.5" customHeight="1" x14ac:dyDescent="0.2">
      <c r="A7" s="4">
        <v>8.1</v>
      </c>
      <c r="B7" s="5" t="s">
        <v>1819</v>
      </c>
      <c r="C7" s="5" t="s">
        <v>1820</v>
      </c>
      <c r="D7" s="7" t="s">
        <v>30</v>
      </c>
      <c r="E7" s="6">
        <v>40</v>
      </c>
      <c r="F7" s="1"/>
      <c r="G7" s="4">
        <v>7.5</v>
      </c>
      <c r="H7" s="5" t="s">
        <v>1819</v>
      </c>
      <c r="I7" s="5" t="s">
        <v>1821</v>
      </c>
      <c r="J7" s="7" t="s">
        <v>30</v>
      </c>
      <c r="K7" s="6">
        <f t="shared" ref="K7:K29" si="0">IF(J7="LOW", 16, IF(J7="MEDIUM", 40, IF(J7="HIGH", 100, "")))</f>
        <v>40</v>
      </c>
    </row>
    <row r="8" spans="1:16" ht="22.5" customHeight="1" x14ac:dyDescent="0.2">
      <c r="A8" s="4">
        <v>8.1999999999999993</v>
      </c>
      <c r="B8" s="5" t="s">
        <v>1819</v>
      </c>
      <c r="C8" s="5" t="s">
        <v>1822</v>
      </c>
      <c r="D8" s="7" t="s">
        <v>30</v>
      </c>
      <c r="E8" s="6">
        <v>40</v>
      </c>
      <c r="F8" s="1"/>
      <c r="G8" s="4">
        <v>9.5</v>
      </c>
      <c r="H8" s="5" t="s">
        <v>1823</v>
      </c>
      <c r="I8" s="5" t="s">
        <v>1824</v>
      </c>
      <c r="J8" s="7" t="s">
        <v>30</v>
      </c>
      <c r="K8" s="6">
        <f t="shared" si="0"/>
        <v>40</v>
      </c>
    </row>
    <row r="9" spans="1:16" ht="22.5" customHeight="1" x14ac:dyDescent="0.2">
      <c r="A9" s="4">
        <v>8.3000000000000007</v>
      </c>
      <c r="B9" s="5" t="s">
        <v>1819</v>
      </c>
      <c r="C9" s="5" t="s">
        <v>1825</v>
      </c>
      <c r="D9" s="7" t="s">
        <v>30</v>
      </c>
      <c r="E9" s="6">
        <v>40</v>
      </c>
      <c r="F9" s="1"/>
      <c r="G9" s="4">
        <v>9.6</v>
      </c>
      <c r="H9" s="5" t="s">
        <v>1823</v>
      </c>
      <c r="I9" s="5" t="s">
        <v>1824</v>
      </c>
      <c r="J9" s="7" t="s">
        <v>30</v>
      </c>
      <c r="K9" s="6">
        <f t="shared" si="0"/>
        <v>40</v>
      </c>
    </row>
    <row r="10" spans="1:16" ht="22.5" customHeight="1" x14ac:dyDescent="0.2">
      <c r="A10" s="4">
        <v>8.4</v>
      </c>
      <c r="B10" s="5" t="s">
        <v>1819</v>
      </c>
      <c r="C10" s="5" t="s">
        <v>1826</v>
      </c>
      <c r="D10" s="7" t="s">
        <v>30</v>
      </c>
      <c r="E10" s="6">
        <v>40</v>
      </c>
      <c r="F10" s="1"/>
      <c r="G10" s="4">
        <v>11.2</v>
      </c>
      <c r="H10" s="5" t="s">
        <v>1827</v>
      </c>
      <c r="I10" s="5" t="s">
        <v>1828</v>
      </c>
      <c r="J10" s="7" t="s">
        <v>35</v>
      </c>
      <c r="K10" s="6">
        <f t="shared" si="0"/>
        <v>100</v>
      </c>
    </row>
    <row r="11" spans="1:16" ht="22.5" customHeight="1" x14ac:dyDescent="0.2">
      <c r="A11" s="4">
        <v>8.5</v>
      </c>
      <c r="B11" s="5" t="s">
        <v>1819</v>
      </c>
      <c r="C11" s="5" t="s">
        <v>1821</v>
      </c>
      <c r="D11" s="7" t="s">
        <v>30</v>
      </c>
      <c r="E11" s="6">
        <v>40</v>
      </c>
      <c r="F11" s="1"/>
      <c r="G11" s="4">
        <v>11.4</v>
      </c>
      <c r="H11" s="5" t="s">
        <v>1827</v>
      </c>
      <c r="I11" s="5" t="s">
        <v>1829</v>
      </c>
      <c r="J11" s="7" t="s">
        <v>35</v>
      </c>
      <c r="K11" s="6">
        <f t="shared" si="0"/>
        <v>100</v>
      </c>
    </row>
    <row r="12" spans="1:16" ht="22.5" customHeight="1" x14ac:dyDescent="0.2">
      <c r="A12" s="4">
        <v>8.6</v>
      </c>
      <c r="B12" s="5" t="s">
        <v>1819</v>
      </c>
      <c r="C12" s="5" t="s">
        <v>1830</v>
      </c>
      <c r="D12" s="7" t="s">
        <v>30</v>
      </c>
      <c r="E12" s="6">
        <v>40</v>
      </c>
      <c r="F12" s="1"/>
      <c r="G12" s="4">
        <v>11.9</v>
      </c>
      <c r="H12" s="5" t="s">
        <v>1827</v>
      </c>
      <c r="I12" s="5" t="s">
        <v>1831</v>
      </c>
      <c r="J12" s="7" t="s">
        <v>30</v>
      </c>
      <c r="K12" s="6">
        <f t="shared" si="0"/>
        <v>40</v>
      </c>
    </row>
    <row r="13" spans="1:16" ht="22.5" customHeight="1" x14ac:dyDescent="0.2">
      <c r="A13" s="4">
        <v>8.6999999999999993</v>
      </c>
      <c r="B13" s="5" t="s">
        <v>1819</v>
      </c>
      <c r="C13" s="5" t="s">
        <v>1832</v>
      </c>
      <c r="D13" s="7" t="s">
        <v>30</v>
      </c>
      <c r="E13" s="6">
        <v>40</v>
      </c>
      <c r="F13" s="1"/>
      <c r="G13" s="4">
        <v>11.13</v>
      </c>
      <c r="H13" s="5" t="s">
        <v>1827</v>
      </c>
      <c r="I13" s="5" t="s">
        <v>1833</v>
      </c>
      <c r="J13" s="7" t="s">
        <v>30</v>
      </c>
      <c r="K13" s="6">
        <f t="shared" si="0"/>
        <v>40</v>
      </c>
    </row>
    <row r="14" spans="1:16" ht="22.5" customHeight="1" x14ac:dyDescent="0.2">
      <c r="A14" s="4">
        <v>9.1</v>
      </c>
      <c r="B14" s="5" t="s">
        <v>1834</v>
      </c>
      <c r="C14" s="5" t="s">
        <v>1835</v>
      </c>
      <c r="D14" s="7" t="s">
        <v>35</v>
      </c>
      <c r="E14" s="6">
        <v>100</v>
      </c>
      <c r="F14" s="1"/>
      <c r="G14" s="4">
        <v>12.32</v>
      </c>
      <c r="H14" s="5" t="s">
        <v>1836</v>
      </c>
      <c r="I14" s="5" t="s">
        <v>1837</v>
      </c>
      <c r="J14" s="7" t="s">
        <v>30</v>
      </c>
      <c r="K14" s="6">
        <f t="shared" si="0"/>
        <v>40</v>
      </c>
    </row>
    <row r="15" spans="1:16" ht="22.5" customHeight="1" x14ac:dyDescent="0.2">
      <c r="A15" s="4">
        <v>9.1999999999999993</v>
      </c>
      <c r="B15" s="5" t="s">
        <v>1834</v>
      </c>
      <c r="C15" s="5" t="s">
        <v>1838</v>
      </c>
      <c r="D15" s="7" t="s">
        <v>30</v>
      </c>
      <c r="E15" s="6">
        <v>40</v>
      </c>
      <c r="F15" s="1"/>
      <c r="G15" s="4">
        <v>13.1</v>
      </c>
      <c r="H15" s="5" t="s">
        <v>1483</v>
      </c>
      <c r="I15" s="5" t="s">
        <v>1839</v>
      </c>
      <c r="J15" s="7" t="s">
        <v>35</v>
      </c>
      <c r="K15" s="6">
        <f t="shared" si="0"/>
        <v>100</v>
      </c>
    </row>
    <row r="16" spans="1:16" ht="22.5" customHeight="1" x14ac:dyDescent="0.2">
      <c r="A16" s="4">
        <v>10.1</v>
      </c>
      <c r="B16" s="5" t="s">
        <v>1823</v>
      </c>
      <c r="C16" s="5" t="s">
        <v>1832</v>
      </c>
      <c r="D16" s="7" t="s">
        <v>30</v>
      </c>
      <c r="E16" s="6">
        <v>40</v>
      </c>
      <c r="F16" s="1"/>
      <c r="G16" s="4">
        <v>15.3</v>
      </c>
      <c r="H16" s="5" t="s">
        <v>1840</v>
      </c>
      <c r="I16" s="5" t="s">
        <v>1841</v>
      </c>
      <c r="J16" s="7" t="s">
        <v>30</v>
      </c>
      <c r="K16" s="6">
        <f t="shared" si="0"/>
        <v>40</v>
      </c>
    </row>
    <row r="17" spans="1:11" ht="22.5" customHeight="1" x14ac:dyDescent="0.2">
      <c r="A17" s="4">
        <v>10.199999999999999</v>
      </c>
      <c r="B17" s="5" t="s">
        <v>1823</v>
      </c>
      <c r="C17" s="5" t="s">
        <v>1842</v>
      </c>
      <c r="D17" s="7" t="s">
        <v>30</v>
      </c>
      <c r="E17" s="6">
        <v>40</v>
      </c>
      <c r="F17" s="1"/>
      <c r="G17" s="4">
        <v>17.5</v>
      </c>
      <c r="H17" s="5" t="s">
        <v>1843</v>
      </c>
      <c r="I17" s="5" t="s">
        <v>1844</v>
      </c>
      <c r="J17" s="7" t="s">
        <v>30</v>
      </c>
      <c r="K17" s="6">
        <f t="shared" si="0"/>
        <v>40</v>
      </c>
    </row>
    <row r="18" spans="1:11" ht="22.5" customHeight="1" x14ac:dyDescent="0.2">
      <c r="A18" s="4">
        <v>10.3</v>
      </c>
      <c r="B18" s="5" t="s">
        <v>1823</v>
      </c>
      <c r="C18" s="5" t="s">
        <v>1845</v>
      </c>
      <c r="D18" s="7" t="s">
        <v>30</v>
      </c>
      <c r="E18" s="6">
        <v>40</v>
      </c>
      <c r="F18" s="1"/>
      <c r="G18" s="4">
        <v>17.8</v>
      </c>
      <c r="H18" s="5" t="s">
        <v>1843</v>
      </c>
      <c r="I18" s="5" t="s">
        <v>1846</v>
      </c>
      <c r="J18" s="7" t="s">
        <v>30</v>
      </c>
      <c r="K18" s="6">
        <f t="shared" si="0"/>
        <v>40</v>
      </c>
    </row>
    <row r="19" spans="1:11" ht="22.5" customHeight="1" x14ac:dyDescent="0.2">
      <c r="A19" s="4">
        <v>10.4</v>
      </c>
      <c r="B19" s="5" t="s">
        <v>1823</v>
      </c>
      <c r="C19" s="5" t="s">
        <v>1847</v>
      </c>
      <c r="D19" s="7" t="s">
        <v>30</v>
      </c>
      <c r="E19" s="6">
        <v>40</v>
      </c>
      <c r="G19" s="4">
        <v>18.5</v>
      </c>
      <c r="H19" s="5" t="s">
        <v>1848</v>
      </c>
      <c r="I19" s="5" t="s">
        <v>1849</v>
      </c>
      <c r="J19" s="7" t="s">
        <v>30</v>
      </c>
      <c r="K19" s="6">
        <f t="shared" si="0"/>
        <v>40</v>
      </c>
    </row>
    <row r="20" spans="1:11" ht="22.5" customHeight="1" x14ac:dyDescent="0.2">
      <c r="A20" s="4">
        <v>10.5</v>
      </c>
      <c r="B20" s="5" t="s">
        <v>1823</v>
      </c>
      <c r="C20" s="5" t="s">
        <v>1850</v>
      </c>
      <c r="D20" s="7" t="s">
        <v>30</v>
      </c>
      <c r="E20" s="6">
        <v>40</v>
      </c>
      <c r="G20" s="4">
        <v>18.7</v>
      </c>
      <c r="H20" s="5" t="s">
        <v>1848</v>
      </c>
      <c r="I20" s="5" t="s">
        <v>1851</v>
      </c>
      <c r="J20" s="7" t="s">
        <v>35</v>
      </c>
      <c r="K20" s="6">
        <f t="shared" si="0"/>
        <v>100</v>
      </c>
    </row>
    <row r="21" spans="1:11" ht="22.5" customHeight="1" x14ac:dyDescent="0.2">
      <c r="A21" s="4">
        <v>10.6</v>
      </c>
      <c r="B21" s="5" t="s">
        <v>1823</v>
      </c>
      <c r="C21" s="5" t="s">
        <v>1824</v>
      </c>
      <c r="D21" s="7" t="s">
        <v>30</v>
      </c>
      <c r="E21" s="6">
        <v>40</v>
      </c>
      <c r="G21" s="4">
        <v>18.23</v>
      </c>
      <c r="H21" s="5" t="s">
        <v>1848</v>
      </c>
      <c r="I21" s="5" t="s">
        <v>1852</v>
      </c>
      <c r="J21" s="7" t="s">
        <v>30</v>
      </c>
      <c r="K21" s="6">
        <f t="shared" si="0"/>
        <v>40</v>
      </c>
    </row>
    <row r="22" spans="1:11" ht="22.5" customHeight="1" x14ac:dyDescent="0.2">
      <c r="A22" s="4">
        <v>10.7</v>
      </c>
      <c r="B22" s="5" t="s">
        <v>1823</v>
      </c>
      <c r="C22" s="5" t="s">
        <v>1853</v>
      </c>
      <c r="D22" s="7" t="s">
        <v>30</v>
      </c>
      <c r="E22" s="6">
        <v>40</v>
      </c>
      <c r="G22" s="4">
        <v>18.37</v>
      </c>
      <c r="H22" s="5" t="s">
        <v>1848</v>
      </c>
      <c r="I22" s="5" t="s">
        <v>1854</v>
      </c>
      <c r="J22" s="7" t="s">
        <v>27</v>
      </c>
      <c r="K22" s="6">
        <f t="shared" si="0"/>
        <v>16</v>
      </c>
    </row>
    <row r="23" spans="1:11" ht="22.5" customHeight="1" x14ac:dyDescent="0.2">
      <c r="A23" s="4">
        <v>10.8</v>
      </c>
      <c r="B23" s="5" t="s">
        <v>1823</v>
      </c>
      <c r="C23" s="5" t="s">
        <v>1855</v>
      </c>
      <c r="D23" s="7" t="s">
        <v>30</v>
      </c>
      <c r="E23" s="6">
        <v>40</v>
      </c>
      <c r="G23" s="4">
        <v>19.170000000000002</v>
      </c>
      <c r="H23" s="5" t="s">
        <v>1856</v>
      </c>
      <c r="I23" s="5" t="s">
        <v>1857</v>
      </c>
      <c r="J23" s="7" t="s">
        <v>30</v>
      </c>
      <c r="K23" s="6">
        <f t="shared" si="0"/>
        <v>40</v>
      </c>
    </row>
    <row r="24" spans="1:11" ht="22.5" customHeight="1" x14ac:dyDescent="0.2">
      <c r="A24" s="4">
        <v>10.9</v>
      </c>
      <c r="B24" s="5" t="s">
        <v>1823</v>
      </c>
      <c r="C24" s="5" t="s">
        <v>1858</v>
      </c>
      <c r="D24" s="7" t="s">
        <v>30</v>
      </c>
      <c r="E24" s="6">
        <v>40</v>
      </c>
      <c r="G24" s="4">
        <v>21.2</v>
      </c>
      <c r="H24" s="5" t="s">
        <v>1859</v>
      </c>
      <c r="I24" s="5" t="s">
        <v>1860</v>
      </c>
      <c r="J24" s="7" t="s">
        <v>30</v>
      </c>
      <c r="K24" s="6">
        <f t="shared" si="0"/>
        <v>40</v>
      </c>
    </row>
    <row r="25" spans="1:11" ht="22.5" customHeight="1" x14ac:dyDescent="0.2">
      <c r="A25" s="4">
        <v>10.1</v>
      </c>
      <c r="B25" s="5" t="s">
        <v>1823</v>
      </c>
      <c r="C25" s="5" t="s">
        <v>1861</v>
      </c>
      <c r="D25" s="7" t="s">
        <v>30</v>
      </c>
      <c r="E25" s="6">
        <v>40</v>
      </c>
      <c r="G25" s="4">
        <v>22.1</v>
      </c>
      <c r="H25" s="5" t="s">
        <v>1862</v>
      </c>
      <c r="I25" s="5" t="s">
        <v>1863</v>
      </c>
      <c r="J25" s="7" t="s">
        <v>35</v>
      </c>
      <c r="K25" s="6">
        <f t="shared" si="0"/>
        <v>100</v>
      </c>
    </row>
    <row r="26" spans="1:11" ht="22.5" customHeight="1" x14ac:dyDescent="0.2">
      <c r="A26" s="4">
        <v>10.11</v>
      </c>
      <c r="B26" s="5" t="s">
        <v>1823</v>
      </c>
      <c r="C26" s="5" t="s">
        <v>1864</v>
      </c>
      <c r="D26" s="7" t="s">
        <v>30</v>
      </c>
      <c r="E26" s="6">
        <v>40</v>
      </c>
      <c r="G26" s="4">
        <v>23.28</v>
      </c>
      <c r="H26" s="5" t="s">
        <v>1865</v>
      </c>
      <c r="I26" s="5" t="s">
        <v>1866</v>
      </c>
      <c r="J26" s="7" t="s">
        <v>35</v>
      </c>
      <c r="K26" s="6">
        <f t="shared" si="0"/>
        <v>100</v>
      </c>
    </row>
    <row r="27" spans="1:11" ht="22.5" customHeight="1" x14ac:dyDescent="0.2">
      <c r="A27" s="4">
        <v>10.119999999999999</v>
      </c>
      <c r="B27" s="5" t="s">
        <v>1823</v>
      </c>
      <c r="C27" s="5" t="s">
        <v>1867</v>
      </c>
      <c r="D27" s="7" t="s">
        <v>30</v>
      </c>
      <c r="E27" s="6">
        <v>40</v>
      </c>
      <c r="G27" s="4">
        <v>24.2</v>
      </c>
      <c r="H27" s="5" t="s">
        <v>1868</v>
      </c>
      <c r="I27" s="5" t="s">
        <v>1869</v>
      </c>
      <c r="J27" s="7" t="s">
        <v>30</v>
      </c>
      <c r="K27" s="6">
        <f t="shared" si="0"/>
        <v>40</v>
      </c>
    </row>
    <row r="28" spans="1:11" ht="22.5" customHeight="1" x14ac:dyDescent="0.2">
      <c r="A28" s="4">
        <v>10.130000000000001</v>
      </c>
      <c r="B28" s="5" t="s">
        <v>1823</v>
      </c>
      <c r="C28" s="5" t="s">
        <v>1870</v>
      </c>
      <c r="D28" s="7" t="s">
        <v>30</v>
      </c>
      <c r="E28" s="6">
        <v>40</v>
      </c>
      <c r="G28" s="4">
        <v>24.3</v>
      </c>
      <c r="H28" s="5" t="s">
        <v>1868</v>
      </c>
      <c r="I28" s="5" t="s">
        <v>1871</v>
      </c>
      <c r="J28" s="7" t="s">
        <v>30</v>
      </c>
      <c r="K28" s="6">
        <f t="shared" si="0"/>
        <v>40</v>
      </c>
    </row>
    <row r="29" spans="1:11" ht="22.5" customHeight="1" x14ac:dyDescent="0.2">
      <c r="A29" s="4">
        <v>10.14</v>
      </c>
      <c r="B29" s="5" t="s">
        <v>1823</v>
      </c>
      <c r="C29" s="5" t="s">
        <v>1872</v>
      </c>
      <c r="D29" s="7" t="s">
        <v>30</v>
      </c>
      <c r="E29" s="6">
        <v>40</v>
      </c>
      <c r="G29" s="4" t="s">
        <v>59</v>
      </c>
      <c r="H29" s="5" t="s">
        <v>1873</v>
      </c>
      <c r="I29" s="5" t="s">
        <v>1874</v>
      </c>
      <c r="J29" s="7" t="s">
        <v>30</v>
      </c>
      <c r="K29" s="6">
        <f t="shared" si="0"/>
        <v>40</v>
      </c>
    </row>
    <row r="30" spans="1:11" ht="22.5" customHeight="1" x14ac:dyDescent="0.2">
      <c r="A30" s="4">
        <v>10.15</v>
      </c>
      <c r="B30" s="5" t="s">
        <v>1823</v>
      </c>
      <c r="C30" s="5" t="s">
        <v>1875</v>
      </c>
      <c r="D30" s="7" t="s">
        <v>30</v>
      </c>
      <c r="E30" s="6">
        <v>40</v>
      </c>
      <c r="G30" s="18">
        <f>COUNTA(Streamlined_Analysis_6[Step Num])</f>
        <v>23</v>
      </c>
      <c r="H30" s="18"/>
      <c r="I30" s="18"/>
      <c r="J30" s="18"/>
      <c r="K30" s="18">
        <f>SUM(Streamlined_Analysis_6[Effort Hours (hrs)])</f>
        <v>1256</v>
      </c>
    </row>
    <row r="31" spans="1:11" ht="22.5" customHeight="1" x14ac:dyDescent="0.2">
      <c r="A31" s="4">
        <v>10.16</v>
      </c>
      <c r="B31" s="5" t="s">
        <v>1823</v>
      </c>
      <c r="C31" s="5" t="s">
        <v>1842</v>
      </c>
      <c r="D31" s="7" t="s">
        <v>30</v>
      </c>
      <c r="E31" s="6">
        <v>40</v>
      </c>
    </row>
    <row r="32" spans="1:11" ht="22.5" customHeight="1" x14ac:dyDescent="0.2">
      <c r="A32" s="4">
        <v>10.17</v>
      </c>
      <c r="B32" s="5" t="s">
        <v>1823</v>
      </c>
      <c r="C32" s="5" t="s">
        <v>1876</v>
      </c>
      <c r="D32" s="7" t="s">
        <v>30</v>
      </c>
      <c r="E32" s="6">
        <v>40</v>
      </c>
    </row>
    <row r="33" spans="1:5" ht="22.5" customHeight="1" x14ac:dyDescent="0.2">
      <c r="A33" s="4">
        <v>10.18</v>
      </c>
      <c r="B33" s="5" t="s">
        <v>1823</v>
      </c>
      <c r="C33" s="5" t="s">
        <v>1877</v>
      </c>
      <c r="D33" s="7" t="s">
        <v>30</v>
      </c>
      <c r="E33" s="6">
        <v>40</v>
      </c>
    </row>
    <row r="34" spans="1:5" ht="22.5" customHeight="1" x14ac:dyDescent="0.2">
      <c r="A34" s="4">
        <v>10.19</v>
      </c>
      <c r="B34" s="5" t="s">
        <v>1823</v>
      </c>
      <c r="C34" s="5" t="s">
        <v>1878</v>
      </c>
      <c r="D34" s="7" t="s">
        <v>30</v>
      </c>
      <c r="E34" s="6">
        <v>40</v>
      </c>
    </row>
    <row r="35" spans="1:5" ht="22.5" customHeight="1" x14ac:dyDescent="0.2">
      <c r="A35" s="4">
        <v>10.199999999999999</v>
      </c>
      <c r="B35" s="5" t="s">
        <v>1823</v>
      </c>
      <c r="C35" s="5" t="s">
        <v>1879</v>
      </c>
      <c r="D35" s="7" t="s">
        <v>30</v>
      </c>
      <c r="E35" s="6">
        <v>40</v>
      </c>
    </row>
    <row r="36" spans="1:5" ht="22.5" customHeight="1" x14ac:dyDescent="0.2">
      <c r="A36" s="4">
        <v>10.210000000000001</v>
      </c>
      <c r="B36" s="5" t="s">
        <v>1823</v>
      </c>
      <c r="C36" s="5" t="s">
        <v>1880</v>
      </c>
      <c r="D36" s="7" t="s">
        <v>30</v>
      </c>
      <c r="E36" s="6">
        <v>40</v>
      </c>
    </row>
    <row r="37" spans="1:5" ht="22.5" customHeight="1" x14ac:dyDescent="0.2">
      <c r="A37" s="4">
        <v>10.220000000000001</v>
      </c>
      <c r="B37" s="5" t="s">
        <v>1823</v>
      </c>
      <c r="C37" s="5" t="s">
        <v>1881</v>
      </c>
      <c r="D37" s="7" t="s">
        <v>30</v>
      </c>
      <c r="E37" s="6">
        <v>40</v>
      </c>
    </row>
    <row r="38" spans="1:5" ht="22.5" customHeight="1" x14ac:dyDescent="0.2">
      <c r="A38" s="4">
        <v>11.1</v>
      </c>
      <c r="B38" s="5" t="s">
        <v>1827</v>
      </c>
      <c r="C38" s="5" t="s">
        <v>1882</v>
      </c>
      <c r="D38" s="7" t="s">
        <v>30</v>
      </c>
      <c r="E38" s="6">
        <v>40</v>
      </c>
    </row>
    <row r="39" spans="1:5" ht="22.5" customHeight="1" x14ac:dyDescent="0.2">
      <c r="A39" s="4">
        <v>11.2</v>
      </c>
      <c r="B39" s="5" t="s">
        <v>1827</v>
      </c>
      <c r="C39" s="5" t="s">
        <v>1828</v>
      </c>
      <c r="D39" s="7" t="s">
        <v>35</v>
      </c>
      <c r="E39" s="6">
        <v>100</v>
      </c>
    </row>
    <row r="40" spans="1:5" ht="22.5" customHeight="1" x14ac:dyDescent="0.2">
      <c r="A40" s="4">
        <v>11.3</v>
      </c>
      <c r="B40" s="5" t="s">
        <v>1827</v>
      </c>
      <c r="C40" s="5" t="s">
        <v>1883</v>
      </c>
      <c r="D40" s="7" t="s">
        <v>35</v>
      </c>
      <c r="E40" s="6">
        <v>100</v>
      </c>
    </row>
    <row r="41" spans="1:5" ht="22.5" customHeight="1" x14ac:dyDescent="0.2">
      <c r="A41" s="4">
        <v>11.4</v>
      </c>
      <c r="B41" s="5" t="s">
        <v>1827</v>
      </c>
      <c r="C41" s="5" t="s">
        <v>1829</v>
      </c>
      <c r="D41" s="7" t="s">
        <v>35</v>
      </c>
      <c r="E41" s="6">
        <v>100</v>
      </c>
    </row>
    <row r="42" spans="1:5" ht="22.5" customHeight="1" x14ac:dyDescent="0.2">
      <c r="A42" s="4">
        <v>11.5</v>
      </c>
      <c r="B42" s="5" t="s">
        <v>1827</v>
      </c>
      <c r="C42" s="5" t="s">
        <v>1884</v>
      </c>
      <c r="D42" s="7" t="s">
        <v>35</v>
      </c>
      <c r="E42" s="6">
        <v>100</v>
      </c>
    </row>
    <row r="43" spans="1:5" ht="22.5" customHeight="1" x14ac:dyDescent="0.2">
      <c r="A43" s="4">
        <v>11.6</v>
      </c>
      <c r="B43" s="5" t="s">
        <v>1827</v>
      </c>
      <c r="C43" s="5" t="s">
        <v>1885</v>
      </c>
      <c r="D43" s="7" t="s">
        <v>30</v>
      </c>
      <c r="E43" s="6">
        <v>40</v>
      </c>
    </row>
    <row r="44" spans="1:5" ht="22.5" customHeight="1" x14ac:dyDescent="0.2">
      <c r="A44" s="4">
        <v>11.7</v>
      </c>
      <c r="B44" s="5" t="s">
        <v>1827</v>
      </c>
      <c r="C44" s="5" t="s">
        <v>1886</v>
      </c>
      <c r="D44" s="7" t="s">
        <v>30</v>
      </c>
      <c r="E44" s="6">
        <v>40</v>
      </c>
    </row>
    <row r="45" spans="1:5" ht="22.5" customHeight="1" x14ac:dyDescent="0.2">
      <c r="A45" s="4">
        <v>11.8</v>
      </c>
      <c r="B45" s="5" t="s">
        <v>1827</v>
      </c>
      <c r="C45" s="5" t="s">
        <v>1831</v>
      </c>
      <c r="D45" s="7" t="s">
        <v>30</v>
      </c>
      <c r="E45" s="6">
        <v>40</v>
      </c>
    </row>
    <row r="46" spans="1:5" ht="22.5" customHeight="1" x14ac:dyDescent="0.2">
      <c r="A46" s="4">
        <v>11.9</v>
      </c>
      <c r="B46" s="5" t="s">
        <v>1827</v>
      </c>
      <c r="C46" s="5" t="s">
        <v>1887</v>
      </c>
      <c r="D46" s="7" t="s">
        <v>30</v>
      </c>
      <c r="E46" s="6">
        <v>40</v>
      </c>
    </row>
    <row r="47" spans="1:5" ht="22.5" customHeight="1" x14ac:dyDescent="0.2">
      <c r="A47" s="4">
        <v>11.1</v>
      </c>
      <c r="B47" s="5" t="s">
        <v>1827</v>
      </c>
      <c r="C47" s="5" t="s">
        <v>1888</v>
      </c>
      <c r="D47" s="7" t="s">
        <v>30</v>
      </c>
      <c r="E47" s="6">
        <v>40</v>
      </c>
    </row>
    <row r="48" spans="1:5" ht="22.5" customHeight="1" x14ac:dyDescent="0.2">
      <c r="A48" s="4">
        <v>11.11</v>
      </c>
      <c r="B48" s="5" t="s">
        <v>1827</v>
      </c>
      <c r="C48" s="5" t="s">
        <v>1889</v>
      </c>
      <c r="D48" s="7" t="s">
        <v>30</v>
      </c>
      <c r="E48" s="6">
        <v>40</v>
      </c>
    </row>
    <row r="49" spans="1:5" ht="22.5" customHeight="1" x14ac:dyDescent="0.2">
      <c r="A49" s="4">
        <v>11.12</v>
      </c>
      <c r="B49" s="5" t="s">
        <v>1827</v>
      </c>
      <c r="C49" s="5" t="s">
        <v>1890</v>
      </c>
      <c r="D49" s="7" t="s">
        <v>30</v>
      </c>
      <c r="E49" s="6">
        <v>40</v>
      </c>
    </row>
    <row r="50" spans="1:5" ht="22.5" customHeight="1" x14ac:dyDescent="0.2">
      <c r="A50" s="4">
        <v>11.13</v>
      </c>
      <c r="B50" s="5" t="s">
        <v>1827</v>
      </c>
      <c r="C50" s="5" t="s">
        <v>1833</v>
      </c>
      <c r="D50" s="7" t="s">
        <v>30</v>
      </c>
      <c r="E50" s="6">
        <v>40</v>
      </c>
    </row>
    <row r="51" spans="1:5" ht="22.5" customHeight="1" x14ac:dyDescent="0.2">
      <c r="A51" s="4">
        <v>11.14</v>
      </c>
      <c r="B51" s="5" t="s">
        <v>1827</v>
      </c>
      <c r="C51" s="5" t="s">
        <v>1891</v>
      </c>
      <c r="D51" s="7" t="s">
        <v>30</v>
      </c>
      <c r="E51" s="6">
        <v>40</v>
      </c>
    </row>
    <row r="52" spans="1:5" ht="22.5" customHeight="1" x14ac:dyDescent="0.2">
      <c r="A52" s="4">
        <v>11.15</v>
      </c>
      <c r="B52" s="5" t="s">
        <v>1827</v>
      </c>
      <c r="C52" s="5" t="s">
        <v>1892</v>
      </c>
      <c r="D52" s="7" t="s">
        <v>30</v>
      </c>
      <c r="E52" s="6">
        <v>40</v>
      </c>
    </row>
    <row r="53" spans="1:5" ht="22.5" customHeight="1" x14ac:dyDescent="0.2">
      <c r="A53" s="4">
        <v>11.16</v>
      </c>
      <c r="B53" s="5" t="s">
        <v>1827</v>
      </c>
      <c r="C53" s="5" t="s">
        <v>1893</v>
      </c>
      <c r="D53" s="7" t="s">
        <v>30</v>
      </c>
      <c r="E53" s="6">
        <v>40</v>
      </c>
    </row>
    <row r="54" spans="1:5" ht="22.5" customHeight="1" x14ac:dyDescent="0.2">
      <c r="A54" s="4">
        <v>11.17</v>
      </c>
      <c r="B54" s="5" t="s">
        <v>1827</v>
      </c>
      <c r="C54" s="5" t="s">
        <v>1894</v>
      </c>
      <c r="D54" s="7" t="s">
        <v>27</v>
      </c>
      <c r="E54" s="6">
        <v>16</v>
      </c>
    </row>
    <row r="55" spans="1:5" ht="22.5" customHeight="1" x14ac:dyDescent="0.2">
      <c r="A55" s="4">
        <v>11.18</v>
      </c>
      <c r="B55" s="5" t="s">
        <v>1827</v>
      </c>
      <c r="C55" s="5" t="s">
        <v>1895</v>
      </c>
      <c r="D55" s="7" t="s">
        <v>27</v>
      </c>
      <c r="E55" s="6">
        <v>16</v>
      </c>
    </row>
    <row r="56" spans="1:5" ht="22.5" customHeight="1" x14ac:dyDescent="0.2">
      <c r="A56" s="4">
        <v>11.19</v>
      </c>
      <c r="B56" s="5" t="s">
        <v>1827</v>
      </c>
      <c r="C56" s="5" t="s">
        <v>1896</v>
      </c>
      <c r="D56" s="7" t="s">
        <v>27</v>
      </c>
      <c r="E56" s="6">
        <v>16</v>
      </c>
    </row>
    <row r="57" spans="1:5" ht="22.5" customHeight="1" x14ac:dyDescent="0.2">
      <c r="A57" s="4">
        <v>12.1</v>
      </c>
      <c r="B57" s="5" t="s">
        <v>1836</v>
      </c>
      <c r="C57" s="5" t="s">
        <v>1897</v>
      </c>
      <c r="D57" s="7" t="s">
        <v>30</v>
      </c>
      <c r="E57" s="6">
        <v>40</v>
      </c>
    </row>
    <row r="58" spans="1:5" ht="22.5" customHeight="1" x14ac:dyDescent="0.2">
      <c r="A58" s="4">
        <v>12.2</v>
      </c>
      <c r="B58" s="5" t="s">
        <v>1836</v>
      </c>
      <c r="C58" s="5" t="s">
        <v>1898</v>
      </c>
      <c r="D58" s="7" t="s">
        <v>30</v>
      </c>
      <c r="E58" s="6">
        <v>40</v>
      </c>
    </row>
    <row r="59" spans="1:5" ht="22.5" customHeight="1" x14ac:dyDescent="0.2">
      <c r="A59" s="4">
        <v>12.3</v>
      </c>
      <c r="B59" s="5" t="s">
        <v>1836</v>
      </c>
      <c r="C59" s="5" t="s">
        <v>1899</v>
      </c>
      <c r="D59" s="7" t="s">
        <v>30</v>
      </c>
      <c r="E59" s="6">
        <v>40</v>
      </c>
    </row>
    <row r="60" spans="1:5" ht="22.5" customHeight="1" x14ac:dyDescent="0.2">
      <c r="A60" s="4">
        <v>12.4</v>
      </c>
      <c r="B60" s="5" t="s">
        <v>1836</v>
      </c>
      <c r="C60" s="5" t="s">
        <v>1900</v>
      </c>
      <c r="D60" s="7" t="s">
        <v>30</v>
      </c>
      <c r="E60" s="6">
        <v>40</v>
      </c>
    </row>
    <row r="61" spans="1:5" ht="22.5" customHeight="1" x14ac:dyDescent="0.2">
      <c r="A61" s="4">
        <v>12.5</v>
      </c>
      <c r="B61" s="5" t="s">
        <v>1836</v>
      </c>
      <c r="C61" s="5" t="s">
        <v>1901</v>
      </c>
      <c r="D61" s="7" t="s">
        <v>30</v>
      </c>
      <c r="E61" s="6">
        <v>40</v>
      </c>
    </row>
    <row r="62" spans="1:5" ht="22.5" customHeight="1" x14ac:dyDescent="0.2">
      <c r="A62" s="4">
        <v>12.6</v>
      </c>
      <c r="B62" s="5" t="s">
        <v>1836</v>
      </c>
      <c r="C62" s="5" t="s">
        <v>1902</v>
      </c>
      <c r="D62" s="7" t="s">
        <v>30</v>
      </c>
      <c r="E62" s="6">
        <v>40</v>
      </c>
    </row>
    <row r="63" spans="1:5" ht="22.5" customHeight="1" x14ac:dyDescent="0.2">
      <c r="A63" s="4">
        <v>12.7</v>
      </c>
      <c r="B63" s="5" t="s">
        <v>1836</v>
      </c>
      <c r="C63" s="5" t="s">
        <v>1903</v>
      </c>
      <c r="D63" s="7" t="s">
        <v>30</v>
      </c>
      <c r="E63" s="6">
        <v>40</v>
      </c>
    </row>
    <row r="64" spans="1:5" ht="22.5" customHeight="1" x14ac:dyDescent="0.2">
      <c r="A64" s="4">
        <v>12.8</v>
      </c>
      <c r="B64" s="5" t="s">
        <v>1836</v>
      </c>
      <c r="C64" s="5" t="s">
        <v>1904</v>
      </c>
      <c r="D64" s="7" t="s">
        <v>30</v>
      </c>
      <c r="E64" s="6">
        <v>40</v>
      </c>
    </row>
    <row r="65" spans="1:5" ht="22.5" customHeight="1" x14ac:dyDescent="0.2">
      <c r="A65" s="4">
        <v>12.9</v>
      </c>
      <c r="B65" s="5" t="s">
        <v>1836</v>
      </c>
      <c r="C65" s="5" t="s">
        <v>1905</v>
      </c>
      <c r="D65" s="7" t="s">
        <v>30</v>
      </c>
      <c r="E65" s="6">
        <v>40</v>
      </c>
    </row>
    <row r="66" spans="1:5" ht="22.5" customHeight="1" x14ac:dyDescent="0.2">
      <c r="A66" s="4">
        <v>12.1</v>
      </c>
      <c r="B66" s="5" t="s">
        <v>1836</v>
      </c>
      <c r="C66" s="5" t="s">
        <v>1906</v>
      </c>
      <c r="D66" s="7" t="s">
        <v>30</v>
      </c>
      <c r="E66" s="6">
        <v>40</v>
      </c>
    </row>
    <row r="67" spans="1:5" ht="22.5" customHeight="1" x14ac:dyDescent="0.2">
      <c r="A67" s="4">
        <v>12.11</v>
      </c>
      <c r="B67" s="5" t="s">
        <v>1836</v>
      </c>
      <c r="C67" s="5" t="s">
        <v>1907</v>
      </c>
      <c r="D67" s="7" t="s">
        <v>30</v>
      </c>
      <c r="E67" s="6">
        <v>40</v>
      </c>
    </row>
    <row r="68" spans="1:5" ht="22.5" customHeight="1" x14ac:dyDescent="0.2">
      <c r="A68" s="4">
        <v>12.12</v>
      </c>
      <c r="B68" s="5" t="s">
        <v>1836</v>
      </c>
      <c r="C68" s="5" t="s">
        <v>1908</v>
      </c>
      <c r="D68" s="7" t="s">
        <v>30</v>
      </c>
      <c r="E68" s="6">
        <v>40</v>
      </c>
    </row>
    <row r="69" spans="1:5" ht="22.5" customHeight="1" x14ac:dyDescent="0.2">
      <c r="A69" s="4">
        <v>12.13</v>
      </c>
      <c r="B69" s="5" t="s">
        <v>1836</v>
      </c>
      <c r="C69" s="5" t="s">
        <v>1909</v>
      </c>
      <c r="D69" s="7" t="s">
        <v>27</v>
      </c>
      <c r="E69" s="6">
        <v>16</v>
      </c>
    </row>
    <row r="70" spans="1:5" ht="22.5" customHeight="1" x14ac:dyDescent="0.2">
      <c r="A70" s="4">
        <v>12.14</v>
      </c>
      <c r="B70" s="5" t="s">
        <v>1836</v>
      </c>
      <c r="C70" s="5" t="s">
        <v>1910</v>
      </c>
      <c r="D70" s="7" t="s">
        <v>27</v>
      </c>
      <c r="E70" s="6">
        <v>16</v>
      </c>
    </row>
    <row r="71" spans="1:5" ht="22.5" customHeight="1" x14ac:dyDescent="0.2">
      <c r="A71" s="4">
        <v>12.15</v>
      </c>
      <c r="B71" s="5" t="s">
        <v>1836</v>
      </c>
      <c r="C71" s="5" t="s">
        <v>1911</v>
      </c>
      <c r="D71" s="7" t="s">
        <v>27</v>
      </c>
      <c r="E71" s="6">
        <v>16</v>
      </c>
    </row>
    <row r="72" spans="1:5" ht="22.5" customHeight="1" x14ac:dyDescent="0.2">
      <c r="A72" s="4">
        <v>12.16</v>
      </c>
      <c r="B72" s="5" t="s">
        <v>1836</v>
      </c>
      <c r="C72" s="5" t="s">
        <v>1912</v>
      </c>
      <c r="D72" s="7" t="s">
        <v>27</v>
      </c>
      <c r="E72" s="6">
        <v>16</v>
      </c>
    </row>
    <row r="73" spans="1:5" ht="22.5" customHeight="1" x14ac:dyDescent="0.2">
      <c r="A73" s="4">
        <v>12.17</v>
      </c>
      <c r="B73" s="5" t="s">
        <v>1836</v>
      </c>
      <c r="C73" s="5" t="s">
        <v>1913</v>
      </c>
      <c r="D73" s="7" t="s">
        <v>30</v>
      </c>
      <c r="E73" s="6">
        <v>40</v>
      </c>
    </row>
    <row r="74" spans="1:5" ht="22.5" customHeight="1" x14ac:dyDescent="0.2">
      <c r="A74" s="4">
        <v>12.18</v>
      </c>
      <c r="B74" s="5" t="s">
        <v>1836</v>
      </c>
      <c r="C74" s="5" t="s">
        <v>1914</v>
      </c>
      <c r="D74" s="7" t="s">
        <v>30</v>
      </c>
      <c r="E74" s="6">
        <v>40</v>
      </c>
    </row>
    <row r="75" spans="1:5" ht="22.5" customHeight="1" x14ac:dyDescent="0.2">
      <c r="A75" s="4">
        <v>12.19</v>
      </c>
      <c r="B75" s="5" t="s">
        <v>1836</v>
      </c>
      <c r="C75" s="5" t="s">
        <v>1915</v>
      </c>
      <c r="D75" s="7" t="s">
        <v>30</v>
      </c>
      <c r="E75" s="6">
        <v>40</v>
      </c>
    </row>
    <row r="76" spans="1:5" ht="22.5" customHeight="1" x14ac:dyDescent="0.2">
      <c r="A76" s="4">
        <v>12.2</v>
      </c>
      <c r="B76" s="5" t="s">
        <v>1836</v>
      </c>
      <c r="C76" s="5" t="s">
        <v>1916</v>
      </c>
      <c r="D76" s="7" t="s">
        <v>30</v>
      </c>
      <c r="E76" s="6">
        <v>40</v>
      </c>
    </row>
    <row r="77" spans="1:5" ht="22.5" customHeight="1" x14ac:dyDescent="0.2">
      <c r="A77" s="4">
        <v>12.21</v>
      </c>
      <c r="B77" s="5" t="s">
        <v>1836</v>
      </c>
      <c r="C77" s="5" t="s">
        <v>1917</v>
      </c>
      <c r="D77" s="7" t="s">
        <v>30</v>
      </c>
      <c r="E77" s="6">
        <v>40</v>
      </c>
    </row>
    <row r="78" spans="1:5" ht="22.5" customHeight="1" x14ac:dyDescent="0.2">
      <c r="A78" s="4">
        <v>12.22</v>
      </c>
      <c r="B78" s="5" t="s">
        <v>1836</v>
      </c>
      <c r="C78" s="5" t="s">
        <v>1918</v>
      </c>
      <c r="D78" s="7" t="s">
        <v>35</v>
      </c>
      <c r="E78" s="6">
        <v>100</v>
      </c>
    </row>
    <row r="79" spans="1:5" ht="22.5" customHeight="1" x14ac:dyDescent="0.2">
      <c r="A79" s="4">
        <v>12.23</v>
      </c>
      <c r="B79" s="5" t="s">
        <v>1836</v>
      </c>
      <c r="C79" s="5" t="s">
        <v>1919</v>
      </c>
      <c r="D79" s="7" t="s">
        <v>30</v>
      </c>
      <c r="E79" s="6">
        <v>40</v>
      </c>
    </row>
    <row r="80" spans="1:5" ht="22.5" customHeight="1" x14ac:dyDescent="0.2">
      <c r="A80" s="4">
        <v>12.24</v>
      </c>
      <c r="B80" s="5" t="s">
        <v>1836</v>
      </c>
      <c r="C80" s="5" t="s">
        <v>1920</v>
      </c>
      <c r="D80" s="7" t="s">
        <v>30</v>
      </c>
      <c r="E80" s="6">
        <v>40</v>
      </c>
    </row>
    <row r="81" spans="1:5" ht="22.5" customHeight="1" x14ac:dyDescent="0.2">
      <c r="A81" s="4">
        <v>12.25</v>
      </c>
      <c r="B81" s="5" t="s">
        <v>1836</v>
      </c>
      <c r="C81" s="5" t="s">
        <v>1921</v>
      </c>
      <c r="D81" s="7" t="s">
        <v>30</v>
      </c>
      <c r="E81" s="6">
        <v>40</v>
      </c>
    </row>
    <row r="82" spans="1:5" ht="22.5" customHeight="1" x14ac:dyDescent="0.2">
      <c r="A82" s="4">
        <v>12.26</v>
      </c>
      <c r="B82" s="5" t="s">
        <v>1836</v>
      </c>
      <c r="C82" s="5" t="s">
        <v>1922</v>
      </c>
      <c r="D82" s="7" t="s">
        <v>30</v>
      </c>
      <c r="E82" s="6">
        <v>40</v>
      </c>
    </row>
    <row r="83" spans="1:5" ht="22.5" customHeight="1" x14ac:dyDescent="0.2">
      <c r="A83" s="4">
        <v>12.27</v>
      </c>
      <c r="B83" s="5" t="s">
        <v>1836</v>
      </c>
      <c r="C83" s="5" t="s">
        <v>1907</v>
      </c>
      <c r="D83" s="7" t="s">
        <v>30</v>
      </c>
      <c r="E83" s="6">
        <v>40</v>
      </c>
    </row>
    <row r="84" spans="1:5" ht="22.5" customHeight="1" x14ac:dyDescent="0.2">
      <c r="A84" s="4">
        <v>12.28</v>
      </c>
      <c r="B84" s="5" t="s">
        <v>1836</v>
      </c>
      <c r="C84" s="5" t="s">
        <v>1923</v>
      </c>
      <c r="D84" s="7" t="s">
        <v>30</v>
      </c>
      <c r="E84" s="6">
        <v>40</v>
      </c>
    </row>
    <row r="85" spans="1:5" ht="22.5" customHeight="1" x14ac:dyDescent="0.2">
      <c r="A85" s="4">
        <v>12.29</v>
      </c>
      <c r="B85" s="5" t="s">
        <v>1836</v>
      </c>
      <c r="C85" s="5" t="s">
        <v>1924</v>
      </c>
      <c r="D85" s="7" t="s">
        <v>27</v>
      </c>
      <c r="E85" s="6">
        <v>16</v>
      </c>
    </row>
    <row r="86" spans="1:5" ht="22.5" customHeight="1" x14ac:dyDescent="0.2">
      <c r="A86" s="4">
        <v>12.3</v>
      </c>
      <c r="B86" s="5" t="s">
        <v>1836</v>
      </c>
      <c r="C86" s="5" t="s">
        <v>1925</v>
      </c>
      <c r="D86" s="7" t="s">
        <v>27</v>
      </c>
      <c r="E86" s="6">
        <v>16</v>
      </c>
    </row>
    <row r="87" spans="1:5" ht="22.5" customHeight="1" x14ac:dyDescent="0.2">
      <c r="A87" s="4">
        <v>12.31</v>
      </c>
      <c r="B87" s="5" t="s">
        <v>1836</v>
      </c>
      <c r="C87" s="5" t="s">
        <v>1926</v>
      </c>
      <c r="D87" s="7" t="s">
        <v>30</v>
      </c>
      <c r="E87" s="6">
        <v>40</v>
      </c>
    </row>
    <row r="88" spans="1:5" ht="22.5" customHeight="1" x14ac:dyDescent="0.2">
      <c r="A88" s="4">
        <v>12.32</v>
      </c>
      <c r="B88" s="5" t="s">
        <v>1836</v>
      </c>
      <c r="C88" s="5" t="s">
        <v>1837</v>
      </c>
      <c r="D88" s="7" t="s">
        <v>30</v>
      </c>
      <c r="E88" s="6">
        <v>40</v>
      </c>
    </row>
    <row r="89" spans="1:5" ht="22.5" customHeight="1" x14ac:dyDescent="0.2">
      <c r="A89" s="4">
        <v>12.33</v>
      </c>
      <c r="B89" s="5" t="s">
        <v>1836</v>
      </c>
      <c r="C89" s="5" t="s">
        <v>1927</v>
      </c>
      <c r="D89" s="7" t="s">
        <v>27</v>
      </c>
      <c r="E89" s="6">
        <v>16</v>
      </c>
    </row>
    <row r="90" spans="1:5" ht="22.5" customHeight="1" x14ac:dyDescent="0.2">
      <c r="A90" s="4">
        <v>13.1</v>
      </c>
      <c r="B90" s="5" t="s">
        <v>1483</v>
      </c>
      <c r="C90" s="5" t="s">
        <v>1928</v>
      </c>
      <c r="D90" s="7" t="s">
        <v>35</v>
      </c>
      <c r="E90" s="6">
        <v>100</v>
      </c>
    </row>
    <row r="91" spans="1:5" ht="22.5" customHeight="1" x14ac:dyDescent="0.2">
      <c r="A91" s="4">
        <v>13.2</v>
      </c>
      <c r="B91" s="5" t="s">
        <v>1483</v>
      </c>
      <c r="C91" s="5" t="s">
        <v>1929</v>
      </c>
      <c r="D91" s="7" t="s">
        <v>30</v>
      </c>
      <c r="E91" s="6">
        <v>40</v>
      </c>
    </row>
    <row r="92" spans="1:5" ht="22.5" customHeight="1" x14ac:dyDescent="0.2">
      <c r="A92" s="4">
        <v>13.3</v>
      </c>
      <c r="B92" s="5" t="s">
        <v>1483</v>
      </c>
      <c r="C92" s="5" t="s">
        <v>1930</v>
      </c>
      <c r="D92" s="7" t="s">
        <v>30</v>
      </c>
      <c r="E92" s="6">
        <v>40</v>
      </c>
    </row>
    <row r="93" spans="1:5" ht="22.5" customHeight="1" x14ac:dyDescent="0.2">
      <c r="A93" s="4">
        <v>13.4</v>
      </c>
      <c r="B93" s="5" t="s">
        <v>1483</v>
      </c>
      <c r="C93" s="5" t="s">
        <v>1931</v>
      </c>
      <c r="D93" s="7" t="s">
        <v>30</v>
      </c>
      <c r="E93" s="6">
        <v>40</v>
      </c>
    </row>
    <row r="94" spans="1:5" ht="22.5" customHeight="1" x14ac:dyDescent="0.2">
      <c r="A94" s="4">
        <v>13.5</v>
      </c>
      <c r="B94" s="5" t="s">
        <v>1483</v>
      </c>
      <c r="C94" s="5" t="s">
        <v>1932</v>
      </c>
      <c r="D94" s="7" t="s">
        <v>30</v>
      </c>
      <c r="E94" s="6">
        <v>40</v>
      </c>
    </row>
    <row r="95" spans="1:5" ht="22.5" customHeight="1" x14ac:dyDescent="0.2">
      <c r="A95" s="4">
        <v>13.6</v>
      </c>
      <c r="B95" s="5" t="s">
        <v>1483</v>
      </c>
      <c r="C95" s="5" t="s">
        <v>1933</v>
      </c>
      <c r="D95" s="7" t="s">
        <v>30</v>
      </c>
      <c r="E95" s="6">
        <v>40</v>
      </c>
    </row>
    <row r="96" spans="1:5" ht="22.5" customHeight="1" x14ac:dyDescent="0.2">
      <c r="A96" s="4">
        <v>13.7</v>
      </c>
      <c r="B96" s="5" t="s">
        <v>1483</v>
      </c>
      <c r="C96" s="5" t="s">
        <v>1934</v>
      </c>
      <c r="D96" s="7" t="s">
        <v>27</v>
      </c>
      <c r="E96" s="6">
        <v>16</v>
      </c>
    </row>
    <row r="97" spans="1:5" ht="22.5" customHeight="1" x14ac:dyDescent="0.2">
      <c r="A97" s="4">
        <v>13.8</v>
      </c>
      <c r="B97" s="5" t="s">
        <v>1483</v>
      </c>
      <c r="C97" s="5" t="s">
        <v>1935</v>
      </c>
      <c r="D97" s="7" t="s">
        <v>30</v>
      </c>
      <c r="E97" s="6">
        <v>40</v>
      </c>
    </row>
    <row r="98" spans="1:5" ht="22.5" customHeight="1" x14ac:dyDescent="0.2">
      <c r="A98" s="4">
        <v>13.9</v>
      </c>
      <c r="B98" s="5" t="s">
        <v>1483</v>
      </c>
      <c r="C98" s="5" t="s">
        <v>1936</v>
      </c>
      <c r="D98" s="7" t="s">
        <v>35</v>
      </c>
      <c r="E98" s="6">
        <v>100</v>
      </c>
    </row>
    <row r="99" spans="1:5" ht="22.5" customHeight="1" x14ac:dyDescent="0.2">
      <c r="A99" s="4">
        <v>13.1</v>
      </c>
      <c r="B99" s="5" t="s">
        <v>1483</v>
      </c>
      <c r="C99" s="5" t="s">
        <v>1839</v>
      </c>
      <c r="D99" s="7" t="s">
        <v>35</v>
      </c>
      <c r="E99" s="6">
        <v>100</v>
      </c>
    </row>
    <row r="100" spans="1:5" ht="22.5" customHeight="1" x14ac:dyDescent="0.2">
      <c r="A100" s="4">
        <v>13.11</v>
      </c>
      <c r="B100" s="5" t="s">
        <v>1483</v>
      </c>
      <c r="C100" s="5" t="s">
        <v>1937</v>
      </c>
      <c r="D100" s="7" t="s">
        <v>35</v>
      </c>
      <c r="E100" s="6">
        <v>100</v>
      </c>
    </row>
    <row r="101" spans="1:5" ht="22.5" customHeight="1" x14ac:dyDescent="0.2">
      <c r="A101" s="4">
        <v>13.12</v>
      </c>
      <c r="B101" s="5" t="s">
        <v>1483</v>
      </c>
      <c r="C101" s="5" t="s">
        <v>1935</v>
      </c>
      <c r="D101" s="7" t="s">
        <v>30</v>
      </c>
      <c r="E101" s="6">
        <v>40</v>
      </c>
    </row>
    <row r="102" spans="1:5" ht="22.5" customHeight="1" x14ac:dyDescent="0.2">
      <c r="A102" s="4">
        <v>13.13</v>
      </c>
      <c r="B102" s="5" t="s">
        <v>1483</v>
      </c>
      <c r="C102" s="5" t="s">
        <v>1938</v>
      </c>
      <c r="D102" s="7" t="s">
        <v>27</v>
      </c>
      <c r="E102" s="6">
        <v>16</v>
      </c>
    </row>
    <row r="103" spans="1:5" ht="22.5" customHeight="1" x14ac:dyDescent="0.2">
      <c r="A103" s="4">
        <v>13.14</v>
      </c>
      <c r="B103" s="5" t="s">
        <v>1483</v>
      </c>
      <c r="C103" s="5" t="s">
        <v>1939</v>
      </c>
      <c r="D103" s="7" t="s">
        <v>27</v>
      </c>
      <c r="E103" s="6">
        <v>16</v>
      </c>
    </row>
    <row r="104" spans="1:5" ht="22.5" customHeight="1" x14ac:dyDescent="0.2">
      <c r="A104" s="4">
        <v>13.15</v>
      </c>
      <c r="B104" s="5" t="s">
        <v>1483</v>
      </c>
      <c r="C104" s="5" t="s">
        <v>1940</v>
      </c>
      <c r="D104" s="7" t="s">
        <v>30</v>
      </c>
      <c r="E104" s="6">
        <v>40</v>
      </c>
    </row>
    <row r="105" spans="1:5" ht="22.5" customHeight="1" x14ac:dyDescent="0.2">
      <c r="A105" s="4">
        <v>13.16</v>
      </c>
      <c r="B105" s="5" t="s">
        <v>1483</v>
      </c>
      <c r="C105" s="5" t="s">
        <v>1941</v>
      </c>
      <c r="D105" s="7" t="s">
        <v>30</v>
      </c>
      <c r="E105" s="6">
        <v>40</v>
      </c>
    </row>
    <row r="106" spans="1:5" ht="22.5" customHeight="1" x14ac:dyDescent="0.2">
      <c r="A106" s="4">
        <v>13.17</v>
      </c>
      <c r="B106" s="5" t="s">
        <v>1483</v>
      </c>
      <c r="C106" s="5" t="s">
        <v>1942</v>
      </c>
      <c r="D106" s="7" t="s">
        <v>30</v>
      </c>
      <c r="E106" s="6">
        <v>40</v>
      </c>
    </row>
    <row r="107" spans="1:5" ht="22.5" customHeight="1" x14ac:dyDescent="0.2">
      <c r="A107" s="4">
        <v>13.18</v>
      </c>
      <c r="B107" s="5" t="s">
        <v>1483</v>
      </c>
      <c r="C107" s="5" t="s">
        <v>1943</v>
      </c>
      <c r="D107" s="7" t="s">
        <v>30</v>
      </c>
      <c r="E107" s="6">
        <v>40</v>
      </c>
    </row>
    <row r="108" spans="1:5" ht="22.5" customHeight="1" x14ac:dyDescent="0.2">
      <c r="A108" s="4">
        <v>13.19</v>
      </c>
      <c r="B108" s="5" t="s">
        <v>1483</v>
      </c>
      <c r="C108" s="5" t="s">
        <v>1944</v>
      </c>
      <c r="D108" s="7" t="s">
        <v>30</v>
      </c>
      <c r="E108" s="6">
        <v>40</v>
      </c>
    </row>
    <row r="109" spans="1:5" ht="22.5" customHeight="1" x14ac:dyDescent="0.2">
      <c r="A109" s="4">
        <v>13.2</v>
      </c>
      <c r="B109" s="5" t="s">
        <v>1483</v>
      </c>
      <c r="C109" s="5" t="s">
        <v>1945</v>
      </c>
      <c r="D109" s="7" t="s">
        <v>30</v>
      </c>
      <c r="E109" s="6">
        <v>40</v>
      </c>
    </row>
    <row r="110" spans="1:5" ht="22.5" customHeight="1" x14ac:dyDescent="0.2">
      <c r="A110" s="4">
        <v>13.21</v>
      </c>
      <c r="B110" s="5" t="s">
        <v>1483</v>
      </c>
      <c r="C110" s="5" t="s">
        <v>1946</v>
      </c>
      <c r="D110" s="7" t="s">
        <v>30</v>
      </c>
      <c r="E110" s="6">
        <v>40</v>
      </c>
    </row>
    <row r="111" spans="1:5" ht="22.5" customHeight="1" x14ac:dyDescent="0.2">
      <c r="A111" s="4">
        <v>13.22</v>
      </c>
      <c r="B111" s="5" t="s">
        <v>1483</v>
      </c>
      <c r="C111" s="5" t="s">
        <v>1947</v>
      </c>
      <c r="D111" s="7" t="s">
        <v>30</v>
      </c>
      <c r="E111" s="6">
        <v>40</v>
      </c>
    </row>
    <row r="112" spans="1:5" ht="22.5" customHeight="1" x14ac:dyDescent="0.2">
      <c r="A112" s="4">
        <v>13.23</v>
      </c>
      <c r="B112" s="5" t="s">
        <v>1483</v>
      </c>
      <c r="C112" s="5" t="s">
        <v>1948</v>
      </c>
      <c r="D112" s="7" t="s">
        <v>30</v>
      </c>
      <c r="E112" s="6">
        <v>40</v>
      </c>
    </row>
    <row r="113" spans="1:5" ht="22.5" customHeight="1" x14ac:dyDescent="0.2">
      <c r="A113" s="4">
        <v>13.24</v>
      </c>
      <c r="B113" s="5" t="s">
        <v>1483</v>
      </c>
      <c r="C113" s="5" t="s">
        <v>1949</v>
      </c>
      <c r="D113" s="7" t="s">
        <v>30</v>
      </c>
      <c r="E113" s="6">
        <v>40</v>
      </c>
    </row>
    <row r="114" spans="1:5" ht="22.5" customHeight="1" x14ac:dyDescent="0.2">
      <c r="A114" s="4">
        <v>14.1</v>
      </c>
      <c r="B114" s="5" t="s">
        <v>1950</v>
      </c>
      <c r="C114" s="5" t="s">
        <v>1951</v>
      </c>
      <c r="D114" s="7" t="s">
        <v>30</v>
      </c>
      <c r="E114" s="6">
        <v>40</v>
      </c>
    </row>
    <row r="115" spans="1:5" ht="22.5" customHeight="1" x14ac:dyDescent="0.2">
      <c r="A115" s="4">
        <v>14.2</v>
      </c>
      <c r="B115" s="5" t="s">
        <v>1950</v>
      </c>
      <c r="C115" s="5" t="s">
        <v>1952</v>
      </c>
      <c r="D115" s="7" t="s">
        <v>30</v>
      </c>
      <c r="E115" s="6">
        <v>40</v>
      </c>
    </row>
    <row r="116" spans="1:5" ht="22.5" customHeight="1" x14ac:dyDescent="0.2">
      <c r="A116" s="4">
        <v>14.3</v>
      </c>
      <c r="B116" s="5" t="s">
        <v>1950</v>
      </c>
      <c r="C116" s="5" t="s">
        <v>1953</v>
      </c>
      <c r="D116" s="7" t="s">
        <v>30</v>
      </c>
      <c r="E116" s="6">
        <v>40</v>
      </c>
    </row>
    <row r="117" spans="1:5" ht="22.5" customHeight="1" x14ac:dyDescent="0.2">
      <c r="A117" s="4">
        <v>14.4</v>
      </c>
      <c r="B117" s="5" t="s">
        <v>1950</v>
      </c>
      <c r="C117" s="5" t="s">
        <v>1907</v>
      </c>
      <c r="D117" s="7" t="s">
        <v>30</v>
      </c>
      <c r="E117" s="6">
        <v>40</v>
      </c>
    </row>
    <row r="118" spans="1:5" ht="22.5" customHeight="1" x14ac:dyDescent="0.2">
      <c r="A118" s="4">
        <v>14.5</v>
      </c>
      <c r="B118" s="5" t="s">
        <v>1950</v>
      </c>
      <c r="C118" s="5" t="s">
        <v>1954</v>
      </c>
      <c r="D118" s="7" t="s">
        <v>30</v>
      </c>
      <c r="E118" s="6">
        <v>40</v>
      </c>
    </row>
    <row r="119" spans="1:5" ht="22.5" customHeight="1" x14ac:dyDescent="0.2">
      <c r="A119" s="4">
        <v>14.6</v>
      </c>
      <c r="B119" s="5" t="s">
        <v>1950</v>
      </c>
      <c r="C119" s="5" t="s">
        <v>1955</v>
      </c>
      <c r="D119" s="7" t="s">
        <v>27</v>
      </c>
      <c r="E119" s="6">
        <v>16</v>
      </c>
    </row>
    <row r="120" spans="1:5" ht="22.5" customHeight="1" x14ac:dyDescent="0.2">
      <c r="A120" s="4">
        <v>14.7</v>
      </c>
      <c r="B120" s="5" t="s">
        <v>1950</v>
      </c>
      <c r="C120" s="5" t="s">
        <v>1956</v>
      </c>
      <c r="D120" s="7" t="s">
        <v>27</v>
      </c>
      <c r="E120" s="6">
        <v>16</v>
      </c>
    </row>
    <row r="121" spans="1:5" ht="22.5" customHeight="1" x14ac:dyDescent="0.2">
      <c r="A121" s="4">
        <v>14.8</v>
      </c>
      <c r="B121" s="5" t="s">
        <v>1950</v>
      </c>
      <c r="C121" s="5" t="s">
        <v>1957</v>
      </c>
      <c r="D121" s="7" t="s">
        <v>35</v>
      </c>
      <c r="E121" s="6">
        <v>100</v>
      </c>
    </row>
    <row r="122" spans="1:5" ht="22.5" customHeight="1" x14ac:dyDescent="0.2">
      <c r="A122" s="4">
        <v>14.9</v>
      </c>
      <c r="B122" s="5" t="s">
        <v>1950</v>
      </c>
      <c r="C122" s="5" t="s">
        <v>1958</v>
      </c>
      <c r="D122" s="7" t="s">
        <v>35</v>
      </c>
      <c r="E122" s="6">
        <v>100</v>
      </c>
    </row>
    <row r="123" spans="1:5" ht="22.5" customHeight="1" x14ac:dyDescent="0.2">
      <c r="A123" s="4">
        <v>14.1</v>
      </c>
      <c r="B123" s="5" t="s">
        <v>1950</v>
      </c>
      <c r="C123" s="5" t="s">
        <v>1959</v>
      </c>
      <c r="D123" s="7" t="s">
        <v>35</v>
      </c>
      <c r="E123" s="6">
        <v>100</v>
      </c>
    </row>
    <row r="124" spans="1:5" ht="22.5" customHeight="1" x14ac:dyDescent="0.2">
      <c r="A124" s="4">
        <v>15.1</v>
      </c>
      <c r="B124" s="5" t="s">
        <v>1840</v>
      </c>
      <c r="C124" s="5" t="s">
        <v>1960</v>
      </c>
      <c r="D124" s="7" t="s">
        <v>35</v>
      </c>
      <c r="E124" s="6">
        <v>100</v>
      </c>
    </row>
    <row r="125" spans="1:5" ht="22.5" customHeight="1" x14ac:dyDescent="0.2">
      <c r="A125" s="4">
        <v>15.2</v>
      </c>
      <c r="B125" s="5" t="s">
        <v>1840</v>
      </c>
      <c r="C125" s="5" t="s">
        <v>1961</v>
      </c>
      <c r="D125" s="7" t="s">
        <v>30</v>
      </c>
      <c r="E125" s="6">
        <v>40</v>
      </c>
    </row>
    <row r="126" spans="1:5" ht="22.5" customHeight="1" x14ac:dyDescent="0.2">
      <c r="A126" s="4">
        <v>15.3</v>
      </c>
      <c r="B126" s="5" t="s">
        <v>1840</v>
      </c>
      <c r="C126" s="5" t="s">
        <v>1841</v>
      </c>
      <c r="D126" s="7" t="s">
        <v>30</v>
      </c>
      <c r="E126" s="6">
        <v>40</v>
      </c>
    </row>
    <row r="127" spans="1:5" ht="22.5" customHeight="1" x14ac:dyDescent="0.2">
      <c r="A127" s="4">
        <v>15.4</v>
      </c>
      <c r="B127" s="5" t="s">
        <v>1840</v>
      </c>
      <c r="C127" s="5" t="s">
        <v>1962</v>
      </c>
      <c r="D127" s="7" t="s">
        <v>30</v>
      </c>
      <c r="E127" s="6">
        <v>40</v>
      </c>
    </row>
    <row r="128" spans="1:5" ht="22.5" customHeight="1" x14ac:dyDescent="0.2">
      <c r="A128" s="4">
        <v>15.5</v>
      </c>
      <c r="B128" s="5" t="s">
        <v>1840</v>
      </c>
      <c r="C128" s="5" t="s">
        <v>1963</v>
      </c>
      <c r="D128" s="7" t="s">
        <v>30</v>
      </c>
      <c r="E128" s="6">
        <v>40</v>
      </c>
    </row>
    <row r="129" spans="1:5" ht="22.5" customHeight="1" x14ac:dyDescent="0.2">
      <c r="A129" s="4">
        <v>15.6</v>
      </c>
      <c r="B129" s="5" t="s">
        <v>1840</v>
      </c>
      <c r="C129" s="5" t="s">
        <v>1964</v>
      </c>
      <c r="D129" s="7" t="s">
        <v>30</v>
      </c>
      <c r="E129" s="6">
        <v>40</v>
      </c>
    </row>
    <row r="130" spans="1:5" ht="22.5" customHeight="1" x14ac:dyDescent="0.2">
      <c r="A130" s="4">
        <v>15.7</v>
      </c>
      <c r="B130" s="5" t="s">
        <v>1840</v>
      </c>
      <c r="C130" s="5" t="s">
        <v>1965</v>
      </c>
      <c r="D130" s="7" t="s">
        <v>30</v>
      </c>
      <c r="E130" s="6">
        <v>40</v>
      </c>
    </row>
    <row r="131" spans="1:5" ht="22.5" customHeight="1" x14ac:dyDescent="0.2">
      <c r="A131" s="4">
        <v>15.8</v>
      </c>
      <c r="B131" s="5" t="s">
        <v>1840</v>
      </c>
      <c r="C131" s="5" t="s">
        <v>1966</v>
      </c>
      <c r="D131" s="7" t="s">
        <v>35</v>
      </c>
      <c r="E131" s="6">
        <v>100</v>
      </c>
    </row>
    <row r="132" spans="1:5" ht="22.5" customHeight="1" x14ac:dyDescent="0.2">
      <c r="A132" s="4">
        <v>15.9</v>
      </c>
      <c r="B132" s="5" t="s">
        <v>1840</v>
      </c>
      <c r="C132" s="5" t="s">
        <v>1967</v>
      </c>
      <c r="D132" s="7" t="s">
        <v>30</v>
      </c>
      <c r="E132" s="6">
        <v>40</v>
      </c>
    </row>
    <row r="133" spans="1:5" ht="22.5" customHeight="1" x14ac:dyDescent="0.2">
      <c r="A133" s="4">
        <v>15.1</v>
      </c>
      <c r="B133" s="5" t="s">
        <v>1840</v>
      </c>
      <c r="C133" s="5" t="s">
        <v>1968</v>
      </c>
      <c r="D133" s="7" t="s">
        <v>35</v>
      </c>
      <c r="E133" s="6">
        <v>100</v>
      </c>
    </row>
    <row r="134" spans="1:5" ht="22.5" customHeight="1" x14ac:dyDescent="0.2">
      <c r="A134" s="4">
        <v>15.11</v>
      </c>
      <c r="B134" s="5" t="s">
        <v>1840</v>
      </c>
      <c r="C134" s="5" t="s">
        <v>1969</v>
      </c>
      <c r="D134" s="7" t="s">
        <v>30</v>
      </c>
      <c r="E134" s="6">
        <v>40</v>
      </c>
    </row>
    <row r="135" spans="1:5" ht="22.5" customHeight="1" x14ac:dyDescent="0.2">
      <c r="A135" s="4">
        <v>15.12</v>
      </c>
      <c r="B135" s="5" t="s">
        <v>1840</v>
      </c>
      <c r="C135" s="5" t="s">
        <v>1970</v>
      </c>
      <c r="D135" s="7" t="s">
        <v>30</v>
      </c>
      <c r="E135" s="6">
        <v>40</v>
      </c>
    </row>
    <row r="136" spans="1:5" ht="22.5" customHeight="1" x14ac:dyDescent="0.2">
      <c r="A136" s="4">
        <v>15.13</v>
      </c>
      <c r="B136" s="5" t="s">
        <v>1840</v>
      </c>
      <c r="C136" s="5" t="s">
        <v>1971</v>
      </c>
      <c r="D136" s="7" t="s">
        <v>30</v>
      </c>
      <c r="E136" s="6">
        <v>40</v>
      </c>
    </row>
    <row r="137" spans="1:5" ht="22.5" customHeight="1" x14ac:dyDescent="0.2">
      <c r="A137" s="4">
        <v>15.14</v>
      </c>
      <c r="B137" s="5" t="s">
        <v>1840</v>
      </c>
      <c r="C137" s="5" t="s">
        <v>1972</v>
      </c>
      <c r="D137" s="7" t="s">
        <v>30</v>
      </c>
      <c r="E137" s="6">
        <v>40</v>
      </c>
    </row>
    <row r="138" spans="1:5" ht="22.5" customHeight="1" x14ac:dyDescent="0.2">
      <c r="A138" s="4">
        <v>15.15</v>
      </c>
      <c r="B138" s="5" t="s">
        <v>1840</v>
      </c>
      <c r="C138" s="5" t="s">
        <v>1973</v>
      </c>
      <c r="D138" s="7" t="s">
        <v>27</v>
      </c>
      <c r="E138" s="6">
        <v>16</v>
      </c>
    </row>
    <row r="139" spans="1:5" ht="22.5" customHeight="1" x14ac:dyDescent="0.2">
      <c r="A139" s="4">
        <v>15.16</v>
      </c>
      <c r="B139" s="5" t="s">
        <v>1840</v>
      </c>
      <c r="C139" s="5" t="s">
        <v>1939</v>
      </c>
      <c r="D139" s="7" t="s">
        <v>27</v>
      </c>
      <c r="E139" s="6">
        <v>16</v>
      </c>
    </row>
    <row r="140" spans="1:5" ht="22.5" customHeight="1" x14ac:dyDescent="0.2">
      <c r="A140" s="4">
        <v>16.100000000000001</v>
      </c>
      <c r="B140" s="5" t="s">
        <v>1974</v>
      </c>
      <c r="C140" s="5" t="s">
        <v>1975</v>
      </c>
      <c r="D140" s="7" t="s">
        <v>30</v>
      </c>
      <c r="E140" s="6">
        <v>40</v>
      </c>
    </row>
    <row r="141" spans="1:5" ht="22.5" customHeight="1" x14ac:dyDescent="0.2">
      <c r="A141" s="4">
        <v>16.2</v>
      </c>
      <c r="B141" s="5" t="s">
        <v>1974</v>
      </c>
      <c r="C141" s="5" t="s">
        <v>1976</v>
      </c>
      <c r="D141" s="7" t="s">
        <v>30</v>
      </c>
      <c r="E141" s="6">
        <v>40</v>
      </c>
    </row>
    <row r="142" spans="1:5" ht="22.5" customHeight="1" x14ac:dyDescent="0.2">
      <c r="A142" s="4">
        <v>16.3</v>
      </c>
      <c r="B142" s="5" t="s">
        <v>1974</v>
      </c>
      <c r="C142" s="5" t="s">
        <v>1977</v>
      </c>
      <c r="D142" s="7" t="s">
        <v>30</v>
      </c>
      <c r="E142" s="6">
        <v>40</v>
      </c>
    </row>
    <row r="143" spans="1:5" ht="22.5" customHeight="1" x14ac:dyDescent="0.2">
      <c r="A143" s="4">
        <v>16.399999999999999</v>
      </c>
      <c r="B143" s="5" t="s">
        <v>1974</v>
      </c>
      <c r="C143" s="5" t="s">
        <v>1907</v>
      </c>
      <c r="D143" s="7" t="s">
        <v>30</v>
      </c>
      <c r="E143" s="6">
        <v>40</v>
      </c>
    </row>
    <row r="144" spans="1:5" ht="22.5" customHeight="1" x14ac:dyDescent="0.2">
      <c r="A144" s="4">
        <v>16.5</v>
      </c>
      <c r="B144" s="5" t="s">
        <v>1974</v>
      </c>
      <c r="C144" s="5" t="s">
        <v>1954</v>
      </c>
      <c r="D144" s="7" t="s">
        <v>30</v>
      </c>
      <c r="E144" s="6">
        <v>40</v>
      </c>
    </row>
    <row r="145" spans="1:5" ht="22.5" customHeight="1" x14ac:dyDescent="0.2">
      <c r="A145" s="4">
        <v>16.600000000000001</v>
      </c>
      <c r="B145" s="5" t="s">
        <v>1974</v>
      </c>
      <c r="C145" s="5" t="s">
        <v>1978</v>
      </c>
      <c r="D145" s="7" t="s">
        <v>27</v>
      </c>
      <c r="E145" s="6">
        <v>16</v>
      </c>
    </row>
    <row r="146" spans="1:5" ht="22.5" customHeight="1" x14ac:dyDescent="0.2">
      <c r="A146" s="4">
        <v>16.7</v>
      </c>
      <c r="B146" s="5" t="s">
        <v>1974</v>
      </c>
      <c r="C146" s="5" t="s">
        <v>1979</v>
      </c>
      <c r="D146" s="7" t="s">
        <v>30</v>
      </c>
      <c r="E146" s="6">
        <v>40</v>
      </c>
    </row>
    <row r="147" spans="1:5" ht="22.5" customHeight="1" x14ac:dyDescent="0.2">
      <c r="A147" s="4">
        <v>16.8</v>
      </c>
      <c r="B147" s="5" t="s">
        <v>1974</v>
      </c>
      <c r="C147" s="5" t="s">
        <v>1980</v>
      </c>
      <c r="D147" s="7" t="s">
        <v>27</v>
      </c>
      <c r="E147" s="6">
        <v>16</v>
      </c>
    </row>
    <row r="148" spans="1:5" ht="22.5" customHeight="1" x14ac:dyDescent="0.2">
      <c r="A148" s="4">
        <v>16.899999999999999</v>
      </c>
      <c r="B148" s="5" t="s">
        <v>1974</v>
      </c>
      <c r="C148" s="5" t="s">
        <v>1981</v>
      </c>
      <c r="D148" s="7" t="s">
        <v>35</v>
      </c>
      <c r="E148" s="6">
        <v>100</v>
      </c>
    </row>
    <row r="149" spans="1:5" ht="22.5" customHeight="1" x14ac:dyDescent="0.2">
      <c r="A149" s="4">
        <v>16.100000000000001</v>
      </c>
      <c r="B149" s="5" t="s">
        <v>1974</v>
      </c>
      <c r="C149" s="5" t="s">
        <v>1982</v>
      </c>
      <c r="D149" s="7" t="s">
        <v>35</v>
      </c>
      <c r="E149" s="6">
        <v>100</v>
      </c>
    </row>
    <row r="150" spans="1:5" ht="22.5" customHeight="1" x14ac:dyDescent="0.2">
      <c r="A150" s="4">
        <v>16.11</v>
      </c>
      <c r="B150" s="5" t="s">
        <v>1974</v>
      </c>
      <c r="C150" s="5" t="s">
        <v>1983</v>
      </c>
      <c r="D150" s="7" t="s">
        <v>27</v>
      </c>
      <c r="E150" s="6">
        <v>16</v>
      </c>
    </row>
    <row r="151" spans="1:5" ht="22.5" customHeight="1" x14ac:dyDescent="0.2">
      <c r="A151" s="4">
        <v>16.12</v>
      </c>
      <c r="B151" s="5" t="s">
        <v>1974</v>
      </c>
      <c r="C151" s="5" t="s">
        <v>1984</v>
      </c>
      <c r="D151" s="7" t="s">
        <v>35</v>
      </c>
      <c r="E151" s="6">
        <v>100</v>
      </c>
    </row>
    <row r="152" spans="1:5" ht="22.5" customHeight="1" x14ac:dyDescent="0.2">
      <c r="A152" s="4">
        <v>16.13</v>
      </c>
      <c r="B152" s="5" t="s">
        <v>1974</v>
      </c>
      <c r="C152" s="5" t="s">
        <v>1985</v>
      </c>
      <c r="D152" s="7" t="s">
        <v>27</v>
      </c>
      <c r="E152" s="6">
        <v>16</v>
      </c>
    </row>
    <row r="153" spans="1:5" ht="22.5" customHeight="1" x14ac:dyDescent="0.2">
      <c r="A153" s="4">
        <v>16.14</v>
      </c>
      <c r="B153" s="5" t="s">
        <v>1974</v>
      </c>
      <c r="C153" s="5" t="s">
        <v>1986</v>
      </c>
      <c r="D153" s="7" t="s">
        <v>35</v>
      </c>
      <c r="E153" s="6">
        <v>100</v>
      </c>
    </row>
    <row r="154" spans="1:5" ht="22.5" customHeight="1" x14ac:dyDescent="0.2">
      <c r="A154" s="4">
        <v>16.149999999999999</v>
      </c>
      <c r="B154" s="5" t="s">
        <v>1974</v>
      </c>
      <c r="C154" s="5" t="s">
        <v>1987</v>
      </c>
      <c r="D154" s="7" t="s">
        <v>35</v>
      </c>
      <c r="E154" s="6">
        <v>100</v>
      </c>
    </row>
    <row r="155" spans="1:5" ht="22.5" customHeight="1" x14ac:dyDescent="0.2">
      <c r="A155" s="4">
        <v>16.16</v>
      </c>
      <c r="B155" s="5" t="s">
        <v>1974</v>
      </c>
      <c r="C155" s="5" t="s">
        <v>1988</v>
      </c>
      <c r="D155" s="7" t="s">
        <v>35</v>
      </c>
      <c r="E155" s="6">
        <v>100</v>
      </c>
    </row>
    <row r="156" spans="1:5" ht="22.5" customHeight="1" x14ac:dyDescent="0.2">
      <c r="A156" s="4">
        <v>16.170000000000002</v>
      </c>
      <c r="B156" s="5" t="s">
        <v>1974</v>
      </c>
      <c r="C156" s="5" t="s">
        <v>1989</v>
      </c>
      <c r="D156" s="7" t="s">
        <v>35</v>
      </c>
      <c r="E156" s="6">
        <v>100</v>
      </c>
    </row>
    <row r="157" spans="1:5" ht="22.5" customHeight="1" x14ac:dyDescent="0.2">
      <c r="A157" s="4">
        <v>16.18</v>
      </c>
      <c r="B157" s="5" t="s">
        <v>1974</v>
      </c>
      <c r="C157" s="5" t="s">
        <v>1990</v>
      </c>
      <c r="D157" s="7" t="s">
        <v>35</v>
      </c>
      <c r="E157" s="6">
        <v>100</v>
      </c>
    </row>
    <row r="158" spans="1:5" ht="22.5" customHeight="1" x14ac:dyDescent="0.2">
      <c r="A158" s="4">
        <v>16.190000000000001</v>
      </c>
      <c r="B158" s="5" t="s">
        <v>1974</v>
      </c>
      <c r="C158" s="5" t="s">
        <v>1991</v>
      </c>
      <c r="D158" s="7" t="s">
        <v>35</v>
      </c>
      <c r="E158" s="6">
        <v>100</v>
      </c>
    </row>
    <row r="159" spans="1:5" ht="22.5" customHeight="1" x14ac:dyDescent="0.2">
      <c r="A159" s="4">
        <v>16.2</v>
      </c>
      <c r="B159" s="5" t="s">
        <v>1974</v>
      </c>
      <c r="C159" s="5" t="s">
        <v>1992</v>
      </c>
      <c r="D159" s="7" t="s">
        <v>35</v>
      </c>
      <c r="E159" s="6">
        <v>100</v>
      </c>
    </row>
    <row r="160" spans="1:5" ht="22.5" customHeight="1" x14ac:dyDescent="0.2">
      <c r="A160" s="4">
        <v>16.21</v>
      </c>
      <c r="B160" s="5" t="s">
        <v>1974</v>
      </c>
      <c r="C160" s="5" t="s">
        <v>1993</v>
      </c>
      <c r="D160" s="7" t="s">
        <v>35</v>
      </c>
      <c r="E160" s="6">
        <v>100</v>
      </c>
    </row>
    <row r="161" spans="1:5" ht="22.5" customHeight="1" x14ac:dyDescent="0.2">
      <c r="A161" s="4">
        <v>16.22</v>
      </c>
      <c r="B161" s="5" t="s">
        <v>1974</v>
      </c>
      <c r="C161" s="5" t="s">
        <v>1994</v>
      </c>
      <c r="D161" s="7" t="s">
        <v>30</v>
      </c>
      <c r="E161" s="6">
        <v>40</v>
      </c>
    </row>
    <row r="162" spans="1:5" ht="22.5" customHeight="1" x14ac:dyDescent="0.2">
      <c r="A162" s="4">
        <v>16.23</v>
      </c>
      <c r="B162" s="5" t="s">
        <v>1974</v>
      </c>
      <c r="C162" s="5" t="s">
        <v>1995</v>
      </c>
      <c r="D162" s="7" t="s">
        <v>30</v>
      </c>
      <c r="E162" s="6">
        <v>40</v>
      </c>
    </row>
    <row r="163" spans="1:5" ht="22.5" customHeight="1" x14ac:dyDescent="0.2">
      <c r="A163" s="4">
        <v>16.239999999999998</v>
      </c>
      <c r="B163" s="5" t="s">
        <v>1974</v>
      </c>
      <c r="C163" s="5" t="s">
        <v>1996</v>
      </c>
      <c r="D163" s="7" t="s">
        <v>35</v>
      </c>
      <c r="E163" s="6">
        <v>100</v>
      </c>
    </row>
    <row r="164" spans="1:5" ht="22.5" customHeight="1" x14ac:dyDescent="0.2">
      <c r="A164" s="4">
        <v>17.100000000000001</v>
      </c>
      <c r="B164" s="5" t="s">
        <v>1843</v>
      </c>
      <c r="C164" s="5" t="s">
        <v>1997</v>
      </c>
      <c r="D164" s="7" t="s">
        <v>27</v>
      </c>
      <c r="E164" s="6">
        <v>16</v>
      </c>
    </row>
    <row r="165" spans="1:5" ht="22.5" customHeight="1" x14ac:dyDescent="0.2">
      <c r="A165" s="4">
        <v>17.2</v>
      </c>
      <c r="B165" s="5" t="s">
        <v>1843</v>
      </c>
      <c r="C165" s="5" t="s">
        <v>1998</v>
      </c>
      <c r="D165" s="7" t="s">
        <v>35</v>
      </c>
      <c r="E165" s="6">
        <v>100</v>
      </c>
    </row>
    <row r="166" spans="1:5" ht="22.5" customHeight="1" x14ac:dyDescent="0.2">
      <c r="A166" s="4">
        <v>17.3</v>
      </c>
      <c r="B166" s="5" t="s">
        <v>1843</v>
      </c>
      <c r="C166" s="5" t="s">
        <v>1999</v>
      </c>
      <c r="D166" s="7" t="s">
        <v>30</v>
      </c>
      <c r="E166" s="6">
        <v>40</v>
      </c>
    </row>
    <row r="167" spans="1:5" ht="22.5" customHeight="1" x14ac:dyDescent="0.2">
      <c r="A167" s="4">
        <v>17.399999999999999</v>
      </c>
      <c r="B167" s="5" t="s">
        <v>1843</v>
      </c>
      <c r="C167" s="5" t="s">
        <v>2000</v>
      </c>
      <c r="D167" s="7" t="s">
        <v>35</v>
      </c>
      <c r="E167" s="6">
        <v>100</v>
      </c>
    </row>
    <row r="168" spans="1:5" ht="22.5" customHeight="1" x14ac:dyDescent="0.2">
      <c r="A168" s="4">
        <v>17.5</v>
      </c>
      <c r="B168" s="5" t="s">
        <v>1843</v>
      </c>
      <c r="C168" s="5" t="s">
        <v>1844</v>
      </c>
      <c r="D168" s="7" t="s">
        <v>30</v>
      </c>
      <c r="E168" s="6">
        <v>40</v>
      </c>
    </row>
    <row r="169" spans="1:5" ht="22.5" customHeight="1" x14ac:dyDescent="0.2">
      <c r="A169" s="4">
        <v>17.600000000000001</v>
      </c>
      <c r="B169" s="5" t="s">
        <v>1843</v>
      </c>
      <c r="C169" s="5" t="s">
        <v>2001</v>
      </c>
      <c r="D169" s="7" t="s">
        <v>30</v>
      </c>
      <c r="E169" s="6">
        <v>40</v>
      </c>
    </row>
    <row r="170" spans="1:5" ht="22.5" customHeight="1" x14ac:dyDescent="0.2">
      <c r="A170" s="4">
        <v>17.7</v>
      </c>
      <c r="B170" s="5" t="s">
        <v>1843</v>
      </c>
      <c r="C170" s="5" t="s">
        <v>2002</v>
      </c>
      <c r="D170" s="7" t="s">
        <v>35</v>
      </c>
      <c r="E170" s="6">
        <v>100</v>
      </c>
    </row>
    <row r="171" spans="1:5" ht="22.5" customHeight="1" x14ac:dyDescent="0.2">
      <c r="A171" s="4">
        <v>17.8</v>
      </c>
      <c r="B171" s="5" t="s">
        <v>1843</v>
      </c>
      <c r="C171" s="5" t="s">
        <v>1846</v>
      </c>
      <c r="D171" s="7" t="s">
        <v>30</v>
      </c>
      <c r="E171" s="6">
        <v>40</v>
      </c>
    </row>
    <row r="172" spans="1:5" ht="22.5" customHeight="1" x14ac:dyDescent="0.2">
      <c r="A172" s="4">
        <v>17.899999999999999</v>
      </c>
      <c r="B172" s="5" t="s">
        <v>1843</v>
      </c>
      <c r="C172" s="5" t="s">
        <v>2003</v>
      </c>
      <c r="D172" s="7" t="s">
        <v>35</v>
      </c>
      <c r="E172" s="6">
        <v>100</v>
      </c>
    </row>
    <row r="173" spans="1:5" ht="22.5" customHeight="1" x14ac:dyDescent="0.2">
      <c r="A173" s="4">
        <v>17.100000000000001</v>
      </c>
      <c r="B173" s="5" t="s">
        <v>1843</v>
      </c>
      <c r="C173" s="5" t="s">
        <v>2004</v>
      </c>
      <c r="D173" s="7" t="s">
        <v>35</v>
      </c>
      <c r="E173" s="6">
        <v>100</v>
      </c>
    </row>
    <row r="174" spans="1:5" ht="22.5" customHeight="1" x14ac:dyDescent="0.2">
      <c r="A174" s="4">
        <v>17.11</v>
      </c>
      <c r="B174" s="5" t="s">
        <v>1843</v>
      </c>
      <c r="C174" s="5" t="s">
        <v>2005</v>
      </c>
      <c r="D174" s="7" t="s">
        <v>30</v>
      </c>
      <c r="E174" s="6">
        <v>40</v>
      </c>
    </row>
    <row r="175" spans="1:5" ht="22.5" customHeight="1" x14ac:dyDescent="0.2">
      <c r="A175" s="4">
        <v>17.12</v>
      </c>
      <c r="B175" s="5" t="s">
        <v>1843</v>
      </c>
      <c r="C175" s="5" t="s">
        <v>2006</v>
      </c>
      <c r="D175" s="7" t="s">
        <v>30</v>
      </c>
      <c r="E175" s="6">
        <v>40</v>
      </c>
    </row>
    <row r="176" spans="1:5" ht="22.5" customHeight="1" x14ac:dyDescent="0.2">
      <c r="A176" s="4">
        <v>17.13</v>
      </c>
      <c r="B176" s="5" t="s">
        <v>1843</v>
      </c>
      <c r="C176" s="5" t="s">
        <v>2007</v>
      </c>
      <c r="D176" s="7" t="s">
        <v>35</v>
      </c>
      <c r="E176" s="6">
        <v>100</v>
      </c>
    </row>
    <row r="177" spans="1:5" ht="22.5" customHeight="1" x14ac:dyDescent="0.2">
      <c r="A177" s="4">
        <v>17.14</v>
      </c>
      <c r="B177" s="5" t="s">
        <v>1843</v>
      </c>
      <c r="C177" s="5" t="s">
        <v>2008</v>
      </c>
      <c r="D177" s="7" t="s">
        <v>30</v>
      </c>
      <c r="E177" s="6">
        <v>40</v>
      </c>
    </row>
    <row r="178" spans="1:5" ht="22.5" customHeight="1" x14ac:dyDescent="0.2">
      <c r="A178" s="4">
        <v>17.149999999999999</v>
      </c>
      <c r="B178" s="5" t="s">
        <v>1843</v>
      </c>
      <c r="C178" s="5" t="s">
        <v>2009</v>
      </c>
      <c r="D178" s="7" t="s">
        <v>30</v>
      </c>
      <c r="E178" s="6">
        <v>40</v>
      </c>
    </row>
    <row r="179" spans="1:5" ht="22.5" customHeight="1" x14ac:dyDescent="0.2">
      <c r="A179" s="4">
        <v>17.16</v>
      </c>
      <c r="B179" s="5" t="s">
        <v>1843</v>
      </c>
      <c r="C179" s="5" t="s">
        <v>2010</v>
      </c>
      <c r="D179" s="7" t="s">
        <v>30</v>
      </c>
      <c r="E179" s="6">
        <v>40</v>
      </c>
    </row>
    <row r="180" spans="1:5" ht="22.5" customHeight="1" x14ac:dyDescent="0.2">
      <c r="A180" s="4">
        <v>18.100000000000001</v>
      </c>
      <c r="B180" s="5" t="s">
        <v>1848</v>
      </c>
      <c r="C180" s="5" t="s">
        <v>2011</v>
      </c>
      <c r="D180" s="7" t="s">
        <v>35</v>
      </c>
      <c r="E180" s="6">
        <v>100</v>
      </c>
    </row>
    <row r="181" spans="1:5" ht="22.5" customHeight="1" x14ac:dyDescent="0.2">
      <c r="A181" s="4">
        <v>18.2</v>
      </c>
      <c r="B181" s="5" t="s">
        <v>1848</v>
      </c>
      <c r="C181" s="5" t="s">
        <v>2004</v>
      </c>
      <c r="D181" s="7" t="s">
        <v>35</v>
      </c>
      <c r="E181" s="6">
        <v>100</v>
      </c>
    </row>
    <row r="182" spans="1:5" ht="22.5" customHeight="1" x14ac:dyDescent="0.2">
      <c r="A182" s="4">
        <v>18.3</v>
      </c>
      <c r="B182" s="5" t="s">
        <v>1848</v>
      </c>
      <c r="C182" s="5" t="s">
        <v>2012</v>
      </c>
      <c r="D182" s="7" t="s">
        <v>35</v>
      </c>
      <c r="E182" s="6">
        <v>100</v>
      </c>
    </row>
    <row r="183" spans="1:5" ht="22.5" customHeight="1" x14ac:dyDescent="0.2">
      <c r="A183" s="4">
        <v>18.399999999999999</v>
      </c>
      <c r="B183" s="5" t="s">
        <v>1848</v>
      </c>
      <c r="C183" s="5" t="s">
        <v>2013</v>
      </c>
      <c r="D183" s="7" t="s">
        <v>35</v>
      </c>
      <c r="E183" s="6">
        <v>100</v>
      </c>
    </row>
    <row r="184" spans="1:5" ht="22.5" customHeight="1" x14ac:dyDescent="0.2">
      <c r="A184" s="4">
        <v>18.5</v>
      </c>
      <c r="B184" s="5" t="s">
        <v>1848</v>
      </c>
      <c r="C184" s="5" t="s">
        <v>1849</v>
      </c>
      <c r="D184" s="7" t="s">
        <v>30</v>
      </c>
      <c r="E184" s="6">
        <v>40</v>
      </c>
    </row>
    <row r="185" spans="1:5" ht="22.5" customHeight="1" x14ac:dyDescent="0.2">
      <c r="A185" s="4">
        <v>18.600000000000001</v>
      </c>
      <c r="B185" s="5" t="s">
        <v>1848</v>
      </c>
      <c r="C185" s="5" t="s">
        <v>2014</v>
      </c>
      <c r="D185" s="7" t="s">
        <v>30</v>
      </c>
      <c r="E185" s="6">
        <v>40</v>
      </c>
    </row>
    <row r="186" spans="1:5" ht="22.5" customHeight="1" x14ac:dyDescent="0.2">
      <c r="A186" s="4">
        <v>18.7</v>
      </c>
      <c r="B186" s="5" t="s">
        <v>1848</v>
      </c>
      <c r="C186" s="5" t="s">
        <v>1851</v>
      </c>
      <c r="D186" s="7" t="s">
        <v>35</v>
      </c>
      <c r="E186" s="6">
        <v>100</v>
      </c>
    </row>
    <row r="187" spans="1:5" ht="22.5" customHeight="1" x14ac:dyDescent="0.2">
      <c r="A187" s="4">
        <v>18.8</v>
      </c>
      <c r="B187" s="5" t="s">
        <v>1848</v>
      </c>
      <c r="C187" s="5" t="s">
        <v>2015</v>
      </c>
      <c r="D187" s="7" t="s">
        <v>30</v>
      </c>
      <c r="E187" s="6">
        <v>40</v>
      </c>
    </row>
    <row r="188" spans="1:5" ht="22.5" customHeight="1" x14ac:dyDescent="0.2">
      <c r="A188" s="4">
        <v>18.899999999999999</v>
      </c>
      <c r="B188" s="5" t="s">
        <v>1848</v>
      </c>
      <c r="C188" s="5" t="s">
        <v>2016</v>
      </c>
      <c r="D188" s="7" t="s">
        <v>30</v>
      </c>
      <c r="E188" s="6">
        <v>40</v>
      </c>
    </row>
    <row r="189" spans="1:5" ht="22.5" customHeight="1" x14ac:dyDescent="0.2">
      <c r="A189" s="4">
        <v>18.100000000000001</v>
      </c>
      <c r="B189" s="5" t="s">
        <v>1848</v>
      </c>
      <c r="C189" s="5" t="s">
        <v>2017</v>
      </c>
      <c r="D189" s="7" t="s">
        <v>30</v>
      </c>
      <c r="E189" s="6">
        <v>40</v>
      </c>
    </row>
    <row r="190" spans="1:5" ht="22.5" customHeight="1" x14ac:dyDescent="0.2">
      <c r="A190" s="4">
        <v>18.11</v>
      </c>
      <c r="B190" s="5" t="s">
        <v>1848</v>
      </c>
      <c r="C190" s="5" t="s">
        <v>2018</v>
      </c>
      <c r="D190" s="7" t="s">
        <v>30</v>
      </c>
      <c r="E190" s="6">
        <v>40</v>
      </c>
    </row>
    <row r="191" spans="1:5" ht="22.5" customHeight="1" x14ac:dyDescent="0.2">
      <c r="A191" s="4">
        <v>18.12</v>
      </c>
      <c r="B191" s="5" t="s">
        <v>1848</v>
      </c>
      <c r="C191" s="5" t="s">
        <v>2019</v>
      </c>
      <c r="D191" s="7" t="s">
        <v>35</v>
      </c>
      <c r="E191" s="6">
        <v>100</v>
      </c>
    </row>
    <row r="192" spans="1:5" ht="22.5" customHeight="1" x14ac:dyDescent="0.2">
      <c r="A192" s="4">
        <v>18.13</v>
      </c>
      <c r="B192" s="5" t="s">
        <v>1848</v>
      </c>
      <c r="C192" s="5" t="s">
        <v>2020</v>
      </c>
      <c r="D192" s="7" t="s">
        <v>35</v>
      </c>
      <c r="E192" s="6">
        <v>100</v>
      </c>
    </row>
    <row r="193" spans="1:5" ht="22.5" customHeight="1" x14ac:dyDescent="0.2">
      <c r="A193" s="4">
        <v>18.14</v>
      </c>
      <c r="B193" s="5" t="s">
        <v>1848</v>
      </c>
      <c r="C193" s="5" t="s">
        <v>2021</v>
      </c>
      <c r="D193" s="7" t="s">
        <v>35</v>
      </c>
      <c r="E193" s="6">
        <v>100</v>
      </c>
    </row>
    <row r="194" spans="1:5" ht="22.5" customHeight="1" x14ac:dyDescent="0.2">
      <c r="A194" s="4">
        <v>18.149999999999999</v>
      </c>
      <c r="B194" s="5" t="s">
        <v>1848</v>
      </c>
      <c r="C194" s="5" t="s">
        <v>2022</v>
      </c>
      <c r="D194" s="7" t="s">
        <v>35</v>
      </c>
      <c r="E194" s="6">
        <v>100</v>
      </c>
    </row>
    <row r="195" spans="1:5" ht="22.5" customHeight="1" x14ac:dyDescent="0.2">
      <c r="A195" s="4">
        <v>18.16</v>
      </c>
      <c r="B195" s="5" t="s">
        <v>1848</v>
      </c>
      <c r="C195" s="5" t="s">
        <v>2023</v>
      </c>
      <c r="D195" s="7" t="s">
        <v>27</v>
      </c>
      <c r="E195" s="6">
        <v>16</v>
      </c>
    </row>
    <row r="196" spans="1:5" ht="22.5" customHeight="1" x14ac:dyDescent="0.2">
      <c r="A196" s="4">
        <v>18.170000000000002</v>
      </c>
      <c r="B196" s="5" t="s">
        <v>1848</v>
      </c>
      <c r="C196" s="5" t="s">
        <v>2024</v>
      </c>
      <c r="D196" s="7" t="s">
        <v>35</v>
      </c>
      <c r="E196" s="6">
        <v>100</v>
      </c>
    </row>
    <row r="197" spans="1:5" ht="22.5" customHeight="1" x14ac:dyDescent="0.2">
      <c r="A197" s="4">
        <v>18.18</v>
      </c>
      <c r="B197" s="5" t="s">
        <v>1848</v>
      </c>
      <c r="C197" s="5" t="s">
        <v>2025</v>
      </c>
      <c r="D197" s="7" t="s">
        <v>35</v>
      </c>
      <c r="E197" s="6">
        <v>100</v>
      </c>
    </row>
    <row r="198" spans="1:5" ht="22.5" customHeight="1" x14ac:dyDescent="0.2">
      <c r="A198" s="4">
        <v>18.190000000000001</v>
      </c>
      <c r="B198" s="5" t="s">
        <v>1848</v>
      </c>
      <c r="C198" s="5" t="s">
        <v>2026</v>
      </c>
      <c r="D198" s="7" t="s">
        <v>35</v>
      </c>
      <c r="E198" s="6">
        <v>100</v>
      </c>
    </row>
    <row r="199" spans="1:5" ht="22.5" customHeight="1" x14ac:dyDescent="0.2">
      <c r="A199" s="4">
        <v>18.2</v>
      </c>
      <c r="B199" s="5" t="s">
        <v>1848</v>
      </c>
      <c r="C199" s="5" t="s">
        <v>2027</v>
      </c>
      <c r="D199" s="7" t="s">
        <v>30</v>
      </c>
      <c r="E199" s="6">
        <v>40</v>
      </c>
    </row>
    <row r="200" spans="1:5" ht="22.5" customHeight="1" x14ac:dyDescent="0.2">
      <c r="A200" s="4">
        <v>18.21</v>
      </c>
      <c r="B200" s="5" t="s">
        <v>1848</v>
      </c>
      <c r="C200" s="5" t="s">
        <v>2028</v>
      </c>
      <c r="D200" s="7" t="s">
        <v>35</v>
      </c>
      <c r="E200" s="6">
        <v>100</v>
      </c>
    </row>
    <row r="201" spans="1:5" ht="22.5" customHeight="1" x14ac:dyDescent="0.2">
      <c r="A201" s="4">
        <v>18.22</v>
      </c>
      <c r="B201" s="5" t="s">
        <v>1848</v>
      </c>
      <c r="C201" s="5" t="s">
        <v>2029</v>
      </c>
      <c r="D201" s="7" t="s">
        <v>35</v>
      </c>
      <c r="E201" s="6">
        <v>100</v>
      </c>
    </row>
    <row r="202" spans="1:5" ht="22.5" customHeight="1" x14ac:dyDescent="0.2">
      <c r="A202" s="4">
        <v>18.23</v>
      </c>
      <c r="B202" s="5" t="s">
        <v>1848</v>
      </c>
      <c r="C202" s="5" t="s">
        <v>1852</v>
      </c>
      <c r="D202" s="7" t="s">
        <v>35</v>
      </c>
      <c r="E202" s="6">
        <v>100</v>
      </c>
    </row>
    <row r="203" spans="1:5" ht="22.5" customHeight="1" x14ac:dyDescent="0.2">
      <c r="A203" s="4">
        <v>18.239999999999998</v>
      </c>
      <c r="B203" s="5" t="s">
        <v>1848</v>
      </c>
      <c r="C203" s="5" t="s">
        <v>2030</v>
      </c>
      <c r="D203" s="7" t="s">
        <v>35</v>
      </c>
      <c r="E203" s="6">
        <v>100</v>
      </c>
    </row>
    <row r="204" spans="1:5" ht="22.5" customHeight="1" x14ac:dyDescent="0.2">
      <c r="A204" s="4">
        <v>18.25</v>
      </c>
      <c r="B204" s="5" t="s">
        <v>1848</v>
      </c>
      <c r="C204" s="5" t="s">
        <v>2017</v>
      </c>
      <c r="D204" s="7" t="s">
        <v>30</v>
      </c>
      <c r="E204" s="6">
        <v>40</v>
      </c>
    </row>
    <row r="205" spans="1:5" ht="22.5" customHeight="1" x14ac:dyDescent="0.2">
      <c r="A205" s="4">
        <v>18.260000000000002</v>
      </c>
      <c r="B205" s="5" t="s">
        <v>1848</v>
      </c>
      <c r="C205" s="5" t="s">
        <v>2031</v>
      </c>
      <c r="D205" s="7" t="s">
        <v>35</v>
      </c>
      <c r="E205" s="6">
        <v>100</v>
      </c>
    </row>
    <row r="206" spans="1:5" ht="22.5" customHeight="1" x14ac:dyDescent="0.2">
      <c r="A206" s="4">
        <v>18.27</v>
      </c>
      <c r="B206" s="5" t="s">
        <v>1848</v>
      </c>
      <c r="C206" s="5" t="s">
        <v>2032</v>
      </c>
      <c r="D206" s="7" t="s">
        <v>30</v>
      </c>
      <c r="E206" s="6">
        <v>40</v>
      </c>
    </row>
    <row r="207" spans="1:5" ht="22.5" customHeight="1" x14ac:dyDescent="0.2">
      <c r="A207" s="4">
        <v>18.28</v>
      </c>
      <c r="B207" s="5" t="s">
        <v>1848</v>
      </c>
      <c r="C207" s="5" t="s">
        <v>2033</v>
      </c>
      <c r="D207" s="7" t="s">
        <v>35</v>
      </c>
      <c r="E207" s="6">
        <v>100</v>
      </c>
    </row>
    <row r="208" spans="1:5" ht="22.5" customHeight="1" x14ac:dyDescent="0.2">
      <c r="A208" s="4">
        <v>18.29</v>
      </c>
      <c r="B208" s="5" t="s">
        <v>1848</v>
      </c>
      <c r="C208" s="5" t="s">
        <v>2034</v>
      </c>
      <c r="D208" s="7" t="s">
        <v>30</v>
      </c>
      <c r="E208" s="6">
        <v>40</v>
      </c>
    </row>
    <row r="209" spans="1:5" ht="22.5" customHeight="1" x14ac:dyDescent="0.2">
      <c r="A209" s="4">
        <v>18.3</v>
      </c>
      <c r="B209" s="5" t="s">
        <v>1848</v>
      </c>
      <c r="C209" s="5" t="s">
        <v>2035</v>
      </c>
      <c r="D209" s="7" t="s">
        <v>30</v>
      </c>
      <c r="E209" s="6">
        <v>40</v>
      </c>
    </row>
    <row r="210" spans="1:5" ht="22.5" customHeight="1" x14ac:dyDescent="0.2">
      <c r="A210" s="4">
        <v>18.309999999999999</v>
      </c>
      <c r="B210" s="5" t="s">
        <v>1848</v>
      </c>
      <c r="C210" s="5" t="s">
        <v>2036</v>
      </c>
      <c r="D210" s="7" t="s">
        <v>30</v>
      </c>
      <c r="E210" s="6">
        <v>40</v>
      </c>
    </row>
    <row r="211" spans="1:5" ht="22.5" customHeight="1" x14ac:dyDescent="0.2">
      <c r="A211" s="4">
        <v>18.32</v>
      </c>
      <c r="B211" s="5" t="s">
        <v>1848</v>
      </c>
      <c r="C211" s="5" t="s">
        <v>2037</v>
      </c>
      <c r="D211" s="7" t="s">
        <v>30</v>
      </c>
      <c r="E211" s="6">
        <v>40</v>
      </c>
    </row>
    <row r="212" spans="1:5" ht="22.5" customHeight="1" x14ac:dyDescent="0.2">
      <c r="A212" s="4">
        <v>18.329999999999998</v>
      </c>
      <c r="B212" s="5" t="s">
        <v>1848</v>
      </c>
      <c r="C212" s="5" t="s">
        <v>1907</v>
      </c>
      <c r="D212" s="7" t="s">
        <v>30</v>
      </c>
      <c r="E212" s="6">
        <v>40</v>
      </c>
    </row>
    <row r="213" spans="1:5" ht="22.5" customHeight="1" x14ac:dyDescent="0.2">
      <c r="A213" s="4">
        <v>18.34</v>
      </c>
      <c r="B213" s="5" t="s">
        <v>1848</v>
      </c>
      <c r="C213" s="5" t="s">
        <v>2038</v>
      </c>
      <c r="D213" s="7" t="s">
        <v>30</v>
      </c>
      <c r="E213" s="6">
        <v>40</v>
      </c>
    </row>
    <row r="214" spans="1:5" ht="22.5" customHeight="1" x14ac:dyDescent="0.2">
      <c r="A214" s="4">
        <v>18.350000000000001</v>
      </c>
      <c r="B214" s="5" t="s">
        <v>1848</v>
      </c>
      <c r="C214" s="5" t="s">
        <v>2039</v>
      </c>
      <c r="D214" s="7" t="s">
        <v>30</v>
      </c>
      <c r="E214" s="6">
        <v>40</v>
      </c>
    </row>
    <row r="215" spans="1:5" ht="22.5" customHeight="1" x14ac:dyDescent="0.2">
      <c r="A215" s="4">
        <v>18.36</v>
      </c>
      <c r="B215" s="5" t="s">
        <v>1848</v>
      </c>
      <c r="C215" s="5" t="s">
        <v>2040</v>
      </c>
      <c r="D215" s="7" t="s">
        <v>30</v>
      </c>
      <c r="E215" s="6">
        <v>40</v>
      </c>
    </row>
    <row r="216" spans="1:5" ht="22.5" customHeight="1" x14ac:dyDescent="0.2">
      <c r="A216" s="4">
        <v>18.37</v>
      </c>
      <c r="B216" s="5" t="s">
        <v>1848</v>
      </c>
      <c r="C216" s="5" t="s">
        <v>1854</v>
      </c>
      <c r="D216" s="7" t="s">
        <v>27</v>
      </c>
      <c r="E216" s="6">
        <v>16</v>
      </c>
    </row>
    <row r="217" spans="1:5" ht="22.5" customHeight="1" x14ac:dyDescent="0.2">
      <c r="A217" s="4">
        <v>19.100000000000001</v>
      </c>
      <c r="B217" s="5" t="s">
        <v>1856</v>
      </c>
      <c r="C217" s="5" t="s">
        <v>2041</v>
      </c>
      <c r="D217" s="7" t="s">
        <v>30</v>
      </c>
      <c r="E217" s="6">
        <v>40</v>
      </c>
    </row>
    <row r="218" spans="1:5" ht="22.5" customHeight="1" x14ac:dyDescent="0.2">
      <c r="A218" s="4">
        <v>19.2</v>
      </c>
      <c r="B218" s="5" t="s">
        <v>1856</v>
      </c>
      <c r="C218" s="5" t="s">
        <v>2042</v>
      </c>
      <c r="D218" s="7" t="s">
        <v>27</v>
      </c>
      <c r="E218" s="6">
        <v>16</v>
      </c>
    </row>
    <row r="219" spans="1:5" ht="22.5" customHeight="1" x14ac:dyDescent="0.2">
      <c r="A219" s="4">
        <v>19.3</v>
      </c>
      <c r="B219" s="5" t="s">
        <v>1856</v>
      </c>
      <c r="C219" s="5" t="s">
        <v>2043</v>
      </c>
      <c r="D219" s="7" t="s">
        <v>30</v>
      </c>
      <c r="E219" s="6">
        <v>40</v>
      </c>
    </row>
    <row r="220" spans="1:5" ht="22.5" customHeight="1" x14ac:dyDescent="0.2">
      <c r="A220" s="4">
        <v>19.399999999999999</v>
      </c>
      <c r="B220" s="5" t="s">
        <v>1856</v>
      </c>
      <c r="C220" s="5" t="s">
        <v>2044</v>
      </c>
      <c r="D220" s="7" t="s">
        <v>30</v>
      </c>
      <c r="E220" s="6">
        <v>40</v>
      </c>
    </row>
    <row r="221" spans="1:5" ht="22.5" customHeight="1" x14ac:dyDescent="0.2">
      <c r="A221" s="4">
        <v>19.5</v>
      </c>
      <c r="B221" s="5" t="s">
        <v>1856</v>
      </c>
      <c r="C221" s="5" t="s">
        <v>2045</v>
      </c>
      <c r="D221" s="7" t="s">
        <v>30</v>
      </c>
      <c r="E221" s="6">
        <v>40</v>
      </c>
    </row>
    <row r="222" spans="1:5" ht="22.5" customHeight="1" x14ac:dyDescent="0.2">
      <c r="A222" s="4">
        <v>19.600000000000001</v>
      </c>
      <c r="B222" s="5" t="s">
        <v>1856</v>
      </c>
      <c r="C222" s="5" t="s">
        <v>2046</v>
      </c>
      <c r="D222" s="7" t="s">
        <v>30</v>
      </c>
      <c r="E222" s="6">
        <v>40</v>
      </c>
    </row>
    <row r="223" spans="1:5" ht="22.5" customHeight="1" x14ac:dyDescent="0.2">
      <c r="A223" s="4">
        <v>19.7</v>
      </c>
      <c r="B223" s="5" t="s">
        <v>1856</v>
      </c>
      <c r="C223" s="5" t="s">
        <v>2047</v>
      </c>
      <c r="D223" s="7" t="s">
        <v>30</v>
      </c>
      <c r="E223" s="6">
        <v>40</v>
      </c>
    </row>
    <row r="224" spans="1:5" ht="22.5" customHeight="1" x14ac:dyDescent="0.2">
      <c r="A224" s="4">
        <v>19.8</v>
      </c>
      <c r="B224" s="5" t="s">
        <v>1856</v>
      </c>
      <c r="C224" s="5" t="s">
        <v>2048</v>
      </c>
      <c r="D224" s="7" t="s">
        <v>30</v>
      </c>
      <c r="E224" s="6">
        <v>40</v>
      </c>
    </row>
    <row r="225" spans="1:5" ht="22.5" customHeight="1" x14ac:dyDescent="0.2">
      <c r="A225" s="4">
        <v>19.899999999999999</v>
      </c>
      <c r="B225" s="5" t="s">
        <v>1856</v>
      </c>
      <c r="C225" s="5" t="s">
        <v>2049</v>
      </c>
      <c r="D225" s="7" t="s">
        <v>30</v>
      </c>
      <c r="E225" s="6">
        <v>40</v>
      </c>
    </row>
    <row r="226" spans="1:5" ht="22.5" customHeight="1" x14ac:dyDescent="0.2">
      <c r="A226" s="4">
        <v>19.100000000000001</v>
      </c>
      <c r="B226" s="5" t="s">
        <v>1856</v>
      </c>
      <c r="C226" s="5" t="s">
        <v>2050</v>
      </c>
      <c r="D226" s="7" t="s">
        <v>30</v>
      </c>
      <c r="E226" s="6">
        <v>40</v>
      </c>
    </row>
    <row r="227" spans="1:5" ht="22.5" customHeight="1" x14ac:dyDescent="0.2">
      <c r="A227" s="4">
        <v>19.11</v>
      </c>
      <c r="B227" s="5" t="s">
        <v>1856</v>
      </c>
      <c r="C227" s="5" t="s">
        <v>2051</v>
      </c>
      <c r="D227" s="7" t="s">
        <v>27</v>
      </c>
      <c r="E227" s="6">
        <v>16</v>
      </c>
    </row>
    <row r="228" spans="1:5" ht="22.5" customHeight="1" x14ac:dyDescent="0.2">
      <c r="A228" s="4">
        <v>19.12</v>
      </c>
      <c r="B228" s="5" t="s">
        <v>1856</v>
      </c>
      <c r="C228" s="5" t="s">
        <v>2052</v>
      </c>
      <c r="D228" s="7" t="s">
        <v>30</v>
      </c>
      <c r="E228" s="6">
        <v>40</v>
      </c>
    </row>
    <row r="229" spans="1:5" ht="22.5" customHeight="1" x14ac:dyDescent="0.2">
      <c r="A229" s="4">
        <v>19.13</v>
      </c>
      <c r="B229" s="5" t="s">
        <v>1856</v>
      </c>
      <c r="C229" s="5" t="s">
        <v>2053</v>
      </c>
      <c r="D229" s="7" t="s">
        <v>30</v>
      </c>
      <c r="E229" s="6">
        <v>40</v>
      </c>
    </row>
    <row r="230" spans="1:5" ht="22.5" customHeight="1" x14ac:dyDescent="0.2">
      <c r="A230" s="4">
        <v>19.14</v>
      </c>
      <c r="B230" s="5" t="s">
        <v>1856</v>
      </c>
      <c r="C230" s="5" t="s">
        <v>2054</v>
      </c>
      <c r="D230" s="7" t="s">
        <v>30</v>
      </c>
      <c r="E230" s="6">
        <v>40</v>
      </c>
    </row>
    <row r="231" spans="1:5" ht="22.5" customHeight="1" x14ac:dyDescent="0.2">
      <c r="A231" s="4">
        <v>19.149999999999999</v>
      </c>
      <c r="B231" s="5" t="s">
        <v>1856</v>
      </c>
      <c r="C231" s="5" t="s">
        <v>2055</v>
      </c>
      <c r="D231" s="7" t="s">
        <v>30</v>
      </c>
      <c r="E231" s="6">
        <v>40</v>
      </c>
    </row>
    <row r="232" spans="1:5" ht="22.5" customHeight="1" x14ac:dyDescent="0.2">
      <c r="A232" s="4">
        <v>19.16</v>
      </c>
      <c r="B232" s="5" t="s">
        <v>1856</v>
      </c>
      <c r="C232" s="5" t="s">
        <v>2056</v>
      </c>
      <c r="D232" s="7" t="s">
        <v>27</v>
      </c>
      <c r="E232" s="6">
        <v>16</v>
      </c>
    </row>
    <row r="233" spans="1:5" ht="22.5" customHeight="1" x14ac:dyDescent="0.2">
      <c r="A233" s="4">
        <v>19.170000000000002</v>
      </c>
      <c r="B233" s="5" t="s">
        <v>1856</v>
      </c>
      <c r="C233" s="5" t="s">
        <v>1857</v>
      </c>
      <c r="D233" s="7" t="s">
        <v>30</v>
      </c>
      <c r="E233" s="6">
        <v>40</v>
      </c>
    </row>
    <row r="234" spans="1:5" ht="22.5" customHeight="1" x14ac:dyDescent="0.2">
      <c r="A234" s="4">
        <v>19.18</v>
      </c>
      <c r="B234" s="5" t="s">
        <v>1856</v>
      </c>
      <c r="C234" s="5" t="s">
        <v>2057</v>
      </c>
      <c r="D234" s="7" t="s">
        <v>27</v>
      </c>
      <c r="E234" s="6">
        <v>16</v>
      </c>
    </row>
    <row r="235" spans="1:5" ht="22.5" customHeight="1" x14ac:dyDescent="0.2">
      <c r="A235" s="4">
        <v>19.190000000000001</v>
      </c>
      <c r="B235" s="5" t="s">
        <v>1856</v>
      </c>
      <c r="C235" s="5" t="s">
        <v>2058</v>
      </c>
      <c r="D235" s="7" t="s">
        <v>30</v>
      </c>
      <c r="E235" s="6">
        <v>40</v>
      </c>
    </row>
    <row r="236" spans="1:5" ht="22.5" customHeight="1" x14ac:dyDescent="0.2">
      <c r="A236" s="4">
        <v>19.2</v>
      </c>
      <c r="B236" s="5" t="s">
        <v>1856</v>
      </c>
      <c r="C236" s="5" t="s">
        <v>2059</v>
      </c>
      <c r="D236" s="7" t="s">
        <v>30</v>
      </c>
      <c r="E236" s="6">
        <v>40</v>
      </c>
    </row>
    <row r="237" spans="1:5" ht="22.5" customHeight="1" x14ac:dyDescent="0.2">
      <c r="A237" s="4">
        <v>19.21</v>
      </c>
      <c r="B237" s="5" t="s">
        <v>1856</v>
      </c>
      <c r="C237" s="5" t="s">
        <v>2060</v>
      </c>
      <c r="D237" s="7" t="s">
        <v>30</v>
      </c>
      <c r="E237" s="6">
        <v>40</v>
      </c>
    </row>
    <row r="238" spans="1:5" ht="22.5" customHeight="1" x14ac:dyDescent="0.2">
      <c r="A238" s="4">
        <v>19.22</v>
      </c>
      <c r="B238" s="5" t="s">
        <v>1856</v>
      </c>
      <c r="C238" s="5" t="s">
        <v>2061</v>
      </c>
      <c r="D238" s="7" t="s">
        <v>30</v>
      </c>
      <c r="E238" s="6">
        <v>40</v>
      </c>
    </row>
    <row r="239" spans="1:5" ht="22.5" customHeight="1" x14ac:dyDescent="0.2">
      <c r="A239" s="4">
        <v>19.23</v>
      </c>
      <c r="B239" s="5" t="s">
        <v>1856</v>
      </c>
      <c r="C239" s="5" t="s">
        <v>2062</v>
      </c>
      <c r="D239" s="7" t="s">
        <v>35</v>
      </c>
      <c r="E239" s="6">
        <v>100</v>
      </c>
    </row>
    <row r="240" spans="1:5" ht="22.5" customHeight="1" x14ac:dyDescent="0.2">
      <c r="A240" s="4">
        <v>19.239999999999998</v>
      </c>
      <c r="B240" s="5" t="s">
        <v>1856</v>
      </c>
      <c r="C240" s="5" t="s">
        <v>2063</v>
      </c>
      <c r="D240" s="7" t="s">
        <v>35</v>
      </c>
      <c r="E240" s="6">
        <v>100</v>
      </c>
    </row>
    <row r="241" spans="1:5" ht="22.5" customHeight="1" x14ac:dyDescent="0.2">
      <c r="A241" s="4">
        <v>19.25</v>
      </c>
      <c r="B241" s="5" t="s">
        <v>1856</v>
      </c>
      <c r="C241" s="5" t="s">
        <v>2064</v>
      </c>
      <c r="D241" s="7" t="s">
        <v>30</v>
      </c>
      <c r="E241" s="6">
        <v>40</v>
      </c>
    </row>
    <row r="242" spans="1:5" ht="22.5" customHeight="1" x14ac:dyDescent="0.2">
      <c r="A242" s="4">
        <v>19.260000000000002</v>
      </c>
      <c r="B242" s="5" t="s">
        <v>1856</v>
      </c>
      <c r="C242" s="5" t="s">
        <v>2065</v>
      </c>
      <c r="D242" s="7" t="s">
        <v>30</v>
      </c>
      <c r="E242" s="6">
        <v>40</v>
      </c>
    </row>
    <row r="243" spans="1:5" ht="22.5" customHeight="1" x14ac:dyDescent="0.2">
      <c r="A243" s="4">
        <v>20.100000000000001</v>
      </c>
      <c r="B243" s="5" t="s">
        <v>2066</v>
      </c>
      <c r="C243" s="5" t="s">
        <v>2067</v>
      </c>
      <c r="D243" s="7" t="s">
        <v>30</v>
      </c>
      <c r="E243" s="6">
        <v>40</v>
      </c>
    </row>
    <row r="244" spans="1:5" ht="22.5" customHeight="1" x14ac:dyDescent="0.2">
      <c r="A244" s="4">
        <v>20.2</v>
      </c>
      <c r="B244" s="5" t="s">
        <v>2066</v>
      </c>
      <c r="C244" s="5" t="s">
        <v>2068</v>
      </c>
      <c r="D244" s="7" t="s">
        <v>30</v>
      </c>
      <c r="E244" s="6">
        <v>40</v>
      </c>
    </row>
    <row r="245" spans="1:5" ht="22.5" customHeight="1" x14ac:dyDescent="0.2">
      <c r="A245" s="4">
        <v>20.3</v>
      </c>
      <c r="B245" s="5" t="s">
        <v>2066</v>
      </c>
      <c r="C245" s="5" t="s">
        <v>2069</v>
      </c>
      <c r="D245" s="7" t="s">
        <v>30</v>
      </c>
      <c r="E245" s="6">
        <v>40</v>
      </c>
    </row>
    <row r="246" spans="1:5" ht="22.5" customHeight="1" x14ac:dyDescent="0.2">
      <c r="A246" s="4">
        <v>20.399999999999999</v>
      </c>
      <c r="B246" s="5" t="s">
        <v>2066</v>
      </c>
      <c r="C246" s="5" t="s">
        <v>2070</v>
      </c>
      <c r="D246" s="7" t="s">
        <v>30</v>
      </c>
      <c r="E246" s="6">
        <v>40</v>
      </c>
    </row>
    <row r="247" spans="1:5" ht="22.5" customHeight="1" x14ac:dyDescent="0.2">
      <c r="A247" s="4">
        <v>20.5</v>
      </c>
      <c r="B247" s="5" t="s">
        <v>2066</v>
      </c>
      <c r="C247" s="5" t="s">
        <v>2071</v>
      </c>
      <c r="D247" s="7" t="s">
        <v>30</v>
      </c>
      <c r="E247" s="6">
        <v>40</v>
      </c>
    </row>
    <row r="248" spans="1:5" ht="22.5" customHeight="1" x14ac:dyDescent="0.2">
      <c r="A248" s="4">
        <v>20.6</v>
      </c>
      <c r="B248" s="5" t="s">
        <v>2066</v>
      </c>
      <c r="C248" s="5" t="s">
        <v>2072</v>
      </c>
      <c r="D248" s="7" t="s">
        <v>30</v>
      </c>
      <c r="E248" s="6">
        <v>40</v>
      </c>
    </row>
    <row r="249" spans="1:5" ht="22.5" customHeight="1" x14ac:dyDescent="0.2">
      <c r="A249" s="4">
        <v>20.7</v>
      </c>
      <c r="B249" s="5" t="s">
        <v>2066</v>
      </c>
      <c r="C249" s="5" t="s">
        <v>2073</v>
      </c>
      <c r="D249" s="7" t="s">
        <v>30</v>
      </c>
      <c r="E249" s="6">
        <v>40</v>
      </c>
    </row>
    <row r="250" spans="1:5" ht="22.5" customHeight="1" x14ac:dyDescent="0.2">
      <c r="A250" s="4">
        <v>20.8</v>
      </c>
      <c r="B250" s="5" t="s">
        <v>2066</v>
      </c>
      <c r="C250" s="5" t="s">
        <v>2074</v>
      </c>
      <c r="D250" s="7" t="s">
        <v>30</v>
      </c>
      <c r="E250" s="6">
        <v>40</v>
      </c>
    </row>
    <row r="251" spans="1:5" ht="22.5" customHeight="1" x14ac:dyDescent="0.2">
      <c r="A251" s="4">
        <v>20.9</v>
      </c>
      <c r="B251" s="5" t="s">
        <v>2066</v>
      </c>
      <c r="C251" s="5" t="s">
        <v>2075</v>
      </c>
      <c r="D251" s="7" t="s">
        <v>30</v>
      </c>
      <c r="E251" s="6">
        <v>40</v>
      </c>
    </row>
    <row r="252" spans="1:5" ht="22.5" customHeight="1" x14ac:dyDescent="0.2">
      <c r="A252" s="4">
        <v>20.100000000000001</v>
      </c>
      <c r="B252" s="5" t="s">
        <v>2066</v>
      </c>
      <c r="C252" s="5" t="s">
        <v>2076</v>
      </c>
      <c r="D252" s="7" t="s">
        <v>30</v>
      </c>
      <c r="E252" s="6">
        <v>40</v>
      </c>
    </row>
    <row r="253" spans="1:5" ht="22.5" customHeight="1" x14ac:dyDescent="0.2">
      <c r="A253" s="4">
        <v>20.11</v>
      </c>
      <c r="B253" s="5" t="s">
        <v>2066</v>
      </c>
      <c r="C253" s="5" t="s">
        <v>2077</v>
      </c>
      <c r="D253" s="7" t="s">
        <v>35</v>
      </c>
      <c r="E253" s="6">
        <v>100</v>
      </c>
    </row>
    <row r="254" spans="1:5" ht="22.5" customHeight="1" x14ac:dyDescent="0.2">
      <c r="A254" s="4">
        <v>20.12</v>
      </c>
      <c r="B254" s="5" t="s">
        <v>2066</v>
      </c>
      <c r="C254" s="5" t="s">
        <v>2078</v>
      </c>
      <c r="D254" s="7" t="s">
        <v>30</v>
      </c>
      <c r="E254" s="6">
        <v>40</v>
      </c>
    </row>
    <row r="255" spans="1:5" ht="22.5" customHeight="1" x14ac:dyDescent="0.2">
      <c r="A255" s="4">
        <v>20.13</v>
      </c>
      <c r="B255" s="5" t="s">
        <v>2066</v>
      </c>
      <c r="C255" s="5" t="s">
        <v>2079</v>
      </c>
      <c r="D255" s="7" t="s">
        <v>30</v>
      </c>
      <c r="E255" s="6">
        <v>40</v>
      </c>
    </row>
    <row r="256" spans="1:5" ht="22.5" customHeight="1" x14ac:dyDescent="0.2">
      <c r="A256" s="4">
        <v>21.1</v>
      </c>
      <c r="B256" s="5" t="s">
        <v>1859</v>
      </c>
      <c r="C256" s="5" t="s">
        <v>2080</v>
      </c>
      <c r="D256" s="7" t="s">
        <v>30</v>
      </c>
      <c r="E256" s="6">
        <v>40</v>
      </c>
    </row>
    <row r="257" spans="1:5" ht="22.5" customHeight="1" x14ac:dyDescent="0.2">
      <c r="A257" s="4">
        <v>21.2</v>
      </c>
      <c r="B257" s="5" t="s">
        <v>1859</v>
      </c>
      <c r="C257" s="5" t="s">
        <v>1860</v>
      </c>
      <c r="D257" s="7" t="s">
        <v>30</v>
      </c>
      <c r="E257" s="6">
        <v>40</v>
      </c>
    </row>
    <row r="258" spans="1:5" ht="22.5" customHeight="1" x14ac:dyDescent="0.2">
      <c r="A258" s="4">
        <v>21.3</v>
      </c>
      <c r="B258" s="5" t="s">
        <v>1859</v>
      </c>
      <c r="C258" s="5" t="s">
        <v>2081</v>
      </c>
      <c r="D258" s="7" t="s">
        <v>27</v>
      </c>
      <c r="E258" s="6">
        <v>16</v>
      </c>
    </row>
    <row r="259" spans="1:5" ht="22.5" customHeight="1" x14ac:dyDescent="0.2">
      <c r="A259" s="4">
        <v>21.4</v>
      </c>
      <c r="B259" s="5" t="s">
        <v>1859</v>
      </c>
      <c r="C259" s="5" t="s">
        <v>2082</v>
      </c>
      <c r="D259" s="7" t="s">
        <v>35</v>
      </c>
      <c r="E259" s="6">
        <v>100</v>
      </c>
    </row>
    <row r="260" spans="1:5" ht="22.5" customHeight="1" x14ac:dyDescent="0.2">
      <c r="A260" s="4">
        <v>21.5</v>
      </c>
      <c r="B260" s="5" t="s">
        <v>1859</v>
      </c>
      <c r="C260" s="5" t="s">
        <v>2083</v>
      </c>
      <c r="D260" s="7" t="s">
        <v>35</v>
      </c>
      <c r="E260" s="6">
        <v>100</v>
      </c>
    </row>
    <row r="261" spans="1:5" ht="22.5" customHeight="1" x14ac:dyDescent="0.2">
      <c r="A261" s="4">
        <v>21.6</v>
      </c>
      <c r="B261" s="5" t="s">
        <v>1859</v>
      </c>
      <c r="C261" s="5" t="s">
        <v>2084</v>
      </c>
      <c r="D261" s="7" t="s">
        <v>35</v>
      </c>
      <c r="E261" s="6">
        <v>100</v>
      </c>
    </row>
    <row r="262" spans="1:5" ht="22.5" customHeight="1" x14ac:dyDescent="0.2">
      <c r="A262" s="4">
        <v>22.1</v>
      </c>
      <c r="B262" s="5" t="s">
        <v>1862</v>
      </c>
      <c r="C262" s="5" t="s">
        <v>2085</v>
      </c>
      <c r="D262" s="7" t="s">
        <v>27</v>
      </c>
      <c r="E262" s="6">
        <v>16</v>
      </c>
    </row>
    <row r="263" spans="1:5" ht="22.5" customHeight="1" x14ac:dyDescent="0.2">
      <c r="A263" s="4">
        <v>22.2</v>
      </c>
      <c r="B263" s="5" t="s">
        <v>1862</v>
      </c>
      <c r="C263" s="5" t="s">
        <v>2086</v>
      </c>
      <c r="D263" s="7" t="s">
        <v>30</v>
      </c>
      <c r="E263" s="6">
        <v>40</v>
      </c>
    </row>
    <row r="264" spans="1:5" ht="22.5" customHeight="1" x14ac:dyDescent="0.2">
      <c r="A264" s="4">
        <v>22.3</v>
      </c>
      <c r="B264" s="5" t="s">
        <v>1862</v>
      </c>
      <c r="C264" s="5" t="s">
        <v>2087</v>
      </c>
      <c r="D264" s="7" t="s">
        <v>30</v>
      </c>
      <c r="E264" s="6">
        <v>40</v>
      </c>
    </row>
    <row r="265" spans="1:5" ht="22.5" customHeight="1" x14ac:dyDescent="0.2">
      <c r="A265" s="4">
        <v>22.4</v>
      </c>
      <c r="B265" s="5" t="s">
        <v>1862</v>
      </c>
      <c r="C265" s="5" t="s">
        <v>2088</v>
      </c>
      <c r="D265" s="7" t="s">
        <v>30</v>
      </c>
      <c r="E265" s="6">
        <v>40</v>
      </c>
    </row>
    <row r="266" spans="1:5" ht="22.5" customHeight="1" x14ac:dyDescent="0.2">
      <c r="A266" s="4">
        <v>22.5</v>
      </c>
      <c r="B266" s="5" t="s">
        <v>1862</v>
      </c>
      <c r="C266" s="5" t="s">
        <v>2089</v>
      </c>
      <c r="D266" s="7" t="s">
        <v>30</v>
      </c>
      <c r="E266" s="6">
        <v>40</v>
      </c>
    </row>
    <row r="267" spans="1:5" ht="22.5" customHeight="1" x14ac:dyDescent="0.2">
      <c r="A267" s="4">
        <v>22.6</v>
      </c>
      <c r="B267" s="5" t="s">
        <v>1862</v>
      </c>
      <c r="C267" s="5" t="s">
        <v>2090</v>
      </c>
      <c r="D267" s="7" t="s">
        <v>30</v>
      </c>
      <c r="E267" s="6">
        <v>40</v>
      </c>
    </row>
    <row r="268" spans="1:5" ht="22.5" customHeight="1" x14ac:dyDescent="0.2">
      <c r="A268" s="4">
        <v>22.7</v>
      </c>
      <c r="B268" s="5" t="s">
        <v>1862</v>
      </c>
      <c r="C268" s="5" t="s">
        <v>2091</v>
      </c>
      <c r="D268" s="7" t="s">
        <v>35</v>
      </c>
      <c r="E268" s="6">
        <v>100</v>
      </c>
    </row>
    <row r="269" spans="1:5" ht="22.5" customHeight="1" x14ac:dyDescent="0.2">
      <c r="A269" s="4">
        <v>22.8</v>
      </c>
      <c r="B269" s="5" t="s">
        <v>1862</v>
      </c>
      <c r="C269" s="5" t="s">
        <v>2092</v>
      </c>
      <c r="D269" s="7" t="s">
        <v>30</v>
      </c>
      <c r="E269" s="6">
        <v>40</v>
      </c>
    </row>
    <row r="270" spans="1:5" ht="22.5" customHeight="1" x14ac:dyDescent="0.2">
      <c r="A270" s="4">
        <v>22.9</v>
      </c>
      <c r="B270" s="5" t="s">
        <v>1862</v>
      </c>
      <c r="C270" s="5" t="s">
        <v>2093</v>
      </c>
      <c r="D270" s="7" t="s">
        <v>30</v>
      </c>
      <c r="E270" s="6">
        <v>40</v>
      </c>
    </row>
    <row r="271" spans="1:5" ht="22.5" customHeight="1" x14ac:dyDescent="0.2">
      <c r="A271" s="4">
        <v>22.1</v>
      </c>
      <c r="B271" s="5" t="s">
        <v>1862</v>
      </c>
      <c r="C271" s="5" t="s">
        <v>2094</v>
      </c>
      <c r="D271" s="7" t="s">
        <v>30</v>
      </c>
      <c r="E271" s="6">
        <v>40</v>
      </c>
    </row>
    <row r="272" spans="1:5" ht="22.5" customHeight="1" x14ac:dyDescent="0.2">
      <c r="A272" s="4">
        <v>22.11</v>
      </c>
      <c r="B272" s="5" t="s">
        <v>1862</v>
      </c>
      <c r="C272" s="5" t="s">
        <v>2095</v>
      </c>
      <c r="D272" s="7" t="s">
        <v>30</v>
      </c>
      <c r="E272" s="6">
        <v>40</v>
      </c>
    </row>
    <row r="273" spans="1:5" ht="22.5" customHeight="1" x14ac:dyDescent="0.2">
      <c r="A273" s="4">
        <v>22.12</v>
      </c>
      <c r="B273" s="5" t="s">
        <v>1862</v>
      </c>
      <c r="C273" s="5" t="s">
        <v>2096</v>
      </c>
      <c r="D273" s="7" t="s">
        <v>30</v>
      </c>
      <c r="E273" s="6">
        <v>40</v>
      </c>
    </row>
    <row r="274" spans="1:5" ht="22.5" customHeight="1" x14ac:dyDescent="0.2">
      <c r="A274" s="4">
        <v>22.13</v>
      </c>
      <c r="B274" s="5" t="s">
        <v>1862</v>
      </c>
      <c r="C274" s="5" t="s">
        <v>2097</v>
      </c>
      <c r="D274" s="7" t="s">
        <v>30</v>
      </c>
      <c r="E274" s="6">
        <v>40</v>
      </c>
    </row>
    <row r="275" spans="1:5" ht="22.5" customHeight="1" x14ac:dyDescent="0.2">
      <c r="A275" s="4">
        <v>22.14</v>
      </c>
      <c r="B275" s="5" t="s">
        <v>1862</v>
      </c>
      <c r="C275" s="5" t="s">
        <v>2061</v>
      </c>
      <c r="D275" s="7" t="s">
        <v>30</v>
      </c>
      <c r="E275" s="6">
        <v>40</v>
      </c>
    </row>
    <row r="276" spans="1:5" ht="22.5" customHeight="1" x14ac:dyDescent="0.2">
      <c r="A276" s="4">
        <v>22.15</v>
      </c>
      <c r="B276" s="5" t="s">
        <v>1862</v>
      </c>
      <c r="C276" s="5" t="s">
        <v>2098</v>
      </c>
      <c r="D276" s="7" t="s">
        <v>30</v>
      </c>
      <c r="E276" s="6">
        <v>40</v>
      </c>
    </row>
    <row r="277" spans="1:5" ht="22.5" customHeight="1" x14ac:dyDescent="0.2">
      <c r="A277" s="4">
        <v>22.16</v>
      </c>
      <c r="B277" s="5" t="s">
        <v>1862</v>
      </c>
      <c r="C277" s="5" t="s">
        <v>2099</v>
      </c>
      <c r="D277" s="7" t="s">
        <v>27</v>
      </c>
      <c r="E277" s="6">
        <v>16</v>
      </c>
    </row>
    <row r="278" spans="1:5" ht="22.5" customHeight="1" x14ac:dyDescent="0.2">
      <c r="A278" s="4">
        <v>22.17</v>
      </c>
      <c r="B278" s="5" t="s">
        <v>1862</v>
      </c>
      <c r="C278" s="5" t="s">
        <v>2100</v>
      </c>
      <c r="D278" s="7" t="s">
        <v>27</v>
      </c>
      <c r="E278" s="6">
        <v>16</v>
      </c>
    </row>
    <row r="279" spans="1:5" ht="22.5" customHeight="1" x14ac:dyDescent="0.2">
      <c r="A279" s="4">
        <v>22.18</v>
      </c>
      <c r="B279" s="5" t="s">
        <v>1862</v>
      </c>
      <c r="C279" s="5" t="s">
        <v>2101</v>
      </c>
      <c r="D279" s="7" t="s">
        <v>30</v>
      </c>
      <c r="E279" s="6">
        <v>40</v>
      </c>
    </row>
    <row r="280" spans="1:5" ht="22.5" customHeight="1" x14ac:dyDescent="0.2">
      <c r="A280" s="4">
        <v>23.1</v>
      </c>
      <c r="B280" s="5" t="s">
        <v>1865</v>
      </c>
      <c r="C280" s="5" t="s">
        <v>2102</v>
      </c>
      <c r="D280" s="7" t="s">
        <v>27</v>
      </c>
      <c r="E280" s="6">
        <v>16</v>
      </c>
    </row>
    <row r="281" spans="1:5" ht="22.5" customHeight="1" x14ac:dyDescent="0.2">
      <c r="A281" s="4">
        <v>23.2</v>
      </c>
      <c r="B281" s="5" t="s">
        <v>1865</v>
      </c>
      <c r="C281" s="5" t="s">
        <v>2103</v>
      </c>
      <c r="D281" s="7" t="s">
        <v>35</v>
      </c>
      <c r="E281" s="6">
        <v>100</v>
      </c>
    </row>
    <row r="282" spans="1:5" ht="22.5" customHeight="1" x14ac:dyDescent="0.2">
      <c r="A282" s="4">
        <v>23.3</v>
      </c>
      <c r="B282" s="5" t="s">
        <v>1865</v>
      </c>
      <c r="C282" s="5" t="s">
        <v>2104</v>
      </c>
      <c r="D282" s="7" t="s">
        <v>35</v>
      </c>
      <c r="E282" s="6">
        <v>100</v>
      </c>
    </row>
    <row r="283" spans="1:5" ht="22.5" customHeight="1" x14ac:dyDescent="0.2">
      <c r="A283" s="4">
        <v>23.4</v>
      </c>
      <c r="B283" s="5" t="s">
        <v>1865</v>
      </c>
      <c r="C283" s="5" t="s">
        <v>2105</v>
      </c>
      <c r="D283" s="7" t="s">
        <v>35</v>
      </c>
      <c r="E283" s="6">
        <v>100</v>
      </c>
    </row>
    <row r="284" spans="1:5" ht="22.5" customHeight="1" x14ac:dyDescent="0.2">
      <c r="A284" s="4">
        <v>23.5</v>
      </c>
      <c r="B284" s="5" t="s">
        <v>1865</v>
      </c>
      <c r="C284" s="5" t="s">
        <v>2106</v>
      </c>
      <c r="D284" s="7" t="s">
        <v>30</v>
      </c>
      <c r="E284" s="6">
        <v>40</v>
      </c>
    </row>
    <row r="285" spans="1:5" ht="22.5" customHeight="1" x14ac:dyDescent="0.2">
      <c r="A285" s="4">
        <v>23.6</v>
      </c>
      <c r="B285" s="5" t="s">
        <v>1865</v>
      </c>
      <c r="C285" s="5" t="s">
        <v>2107</v>
      </c>
      <c r="D285" s="7" t="s">
        <v>35</v>
      </c>
      <c r="E285" s="6">
        <v>100</v>
      </c>
    </row>
    <row r="286" spans="1:5" ht="22.5" customHeight="1" x14ac:dyDescent="0.2">
      <c r="A286" s="4">
        <v>23.7</v>
      </c>
      <c r="B286" s="5" t="s">
        <v>1865</v>
      </c>
      <c r="C286" s="5" t="s">
        <v>2108</v>
      </c>
      <c r="D286" s="7" t="s">
        <v>35</v>
      </c>
      <c r="E286" s="6">
        <v>100</v>
      </c>
    </row>
    <row r="287" spans="1:5" ht="22.5" customHeight="1" x14ac:dyDescent="0.2">
      <c r="A287" s="4">
        <v>23.8</v>
      </c>
      <c r="B287" s="5" t="s">
        <v>1865</v>
      </c>
      <c r="C287" s="5" t="s">
        <v>2109</v>
      </c>
      <c r="D287" s="7" t="s">
        <v>35</v>
      </c>
      <c r="E287" s="6">
        <v>100</v>
      </c>
    </row>
    <row r="288" spans="1:5" ht="22.5" customHeight="1" x14ac:dyDescent="0.2">
      <c r="A288" s="4">
        <v>23.9</v>
      </c>
      <c r="B288" s="5" t="s">
        <v>1865</v>
      </c>
      <c r="C288" s="5" t="s">
        <v>2110</v>
      </c>
      <c r="D288" s="7" t="s">
        <v>35</v>
      </c>
      <c r="E288" s="6">
        <v>100</v>
      </c>
    </row>
    <row r="289" spans="1:5" ht="22.5" customHeight="1" x14ac:dyDescent="0.2">
      <c r="A289" s="4">
        <v>23.1</v>
      </c>
      <c r="B289" s="5" t="s">
        <v>1865</v>
      </c>
      <c r="C289" s="5" t="s">
        <v>2111</v>
      </c>
      <c r="D289" s="7" t="s">
        <v>35</v>
      </c>
      <c r="E289" s="6">
        <v>100</v>
      </c>
    </row>
    <row r="290" spans="1:5" ht="22.5" customHeight="1" x14ac:dyDescent="0.2">
      <c r="A290" s="4">
        <v>23.11</v>
      </c>
      <c r="B290" s="5" t="s">
        <v>1865</v>
      </c>
      <c r="C290" s="5" t="s">
        <v>2112</v>
      </c>
      <c r="D290" s="7" t="s">
        <v>35</v>
      </c>
      <c r="E290" s="6">
        <v>100</v>
      </c>
    </row>
    <row r="291" spans="1:5" ht="22.5" customHeight="1" x14ac:dyDescent="0.2">
      <c r="A291" s="4">
        <v>23.12</v>
      </c>
      <c r="B291" s="5" t="s">
        <v>1865</v>
      </c>
      <c r="C291" s="5" t="s">
        <v>2113</v>
      </c>
      <c r="D291" s="7" t="s">
        <v>30</v>
      </c>
      <c r="E291" s="6">
        <v>40</v>
      </c>
    </row>
    <row r="292" spans="1:5" ht="22.5" customHeight="1" x14ac:dyDescent="0.2">
      <c r="A292" s="4">
        <v>23.13</v>
      </c>
      <c r="B292" s="5" t="s">
        <v>1865</v>
      </c>
      <c r="C292" s="5" t="s">
        <v>2114</v>
      </c>
      <c r="D292" s="7" t="s">
        <v>30</v>
      </c>
      <c r="E292" s="6">
        <v>40</v>
      </c>
    </row>
    <row r="293" spans="1:5" ht="22.5" customHeight="1" x14ac:dyDescent="0.2">
      <c r="A293" s="4">
        <v>23.14</v>
      </c>
      <c r="B293" s="5" t="s">
        <v>1865</v>
      </c>
      <c r="C293" s="5" t="s">
        <v>2115</v>
      </c>
      <c r="D293" s="7" t="s">
        <v>27</v>
      </c>
      <c r="E293" s="6">
        <v>16</v>
      </c>
    </row>
    <row r="294" spans="1:5" ht="22.5" customHeight="1" x14ac:dyDescent="0.2">
      <c r="A294" s="4">
        <v>23.15</v>
      </c>
      <c r="B294" s="5" t="s">
        <v>1865</v>
      </c>
      <c r="C294" s="5" t="s">
        <v>2116</v>
      </c>
      <c r="D294" s="7" t="s">
        <v>35</v>
      </c>
      <c r="E294" s="6">
        <v>100</v>
      </c>
    </row>
    <row r="295" spans="1:5" ht="22.5" customHeight="1" x14ac:dyDescent="0.2">
      <c r="A295" s="4">
        <v>23.16</v>
      </c>
      <c r="B295" s="5" t="s">
        <v>1865</v>
      </c>
      <c r="C295" s="5" t="s">
        <v>2117</v>
      </c>
      <c r="D295" s="7" t="s">
        <v>35</v>
      </c>
      <c r="E295" s="6">
        <v>100</v>
      </c>
    </row>
    <row r="296" spans="1:5" ht="22.5" customHeight="1" x14ac:dyDescent="0.2">
      <c r="A296" s="4">
        <v>23.17</v>
      </c>
      <c r="B296" s="5" t="s">
        <v>1865</v>
      </c>
      <c r="C296" s="5" t="s">
        <v>2118</v>
      </c>
      <c r="D296" s="7" t="s">
        <v>30</v>
      </c>
      <c r="E296" s="6">
        <v>40</v>
      </c>
    </row>
    <row r="297" spans="1:5" ht="22.5" customHeight="1" x14ac:dyDescent="0.2">
      <c r="A297" s="4">
        <v>23.18</v>
      </c>
      <c r="B297" s="5" t="s">
        <v>1865</v>
      </c>
      <c r="C297" s="5" t="s">
        <v>2119</v>
      </c>
      <c r="D297" s="7" t="s">
        <v>35</v>
      </c>
      <c r="E297" s="6">
        <v>100</v>
      </c>
    </row>
    <row r="298" spans="1:5" ht="22.5" customHeight="1" x14ac:dyDescent="0.2">
      <c r="A298" s="4">
        <v>23.19</v>
      </c>
      <c r="B298" s="5" t="s">
        <v>1865</v>
      </c>
      <c r="C298" s="5" t="s">
        <v>2120</v>
      </c>
      <c r="D298" s="7" t="s">
        <v>30</v>
      </c>
      <c r="E298" s="6">
        <v>40</v>
      </c>
    </row>
    <row r="299" spans="1:5" ht="22.5" customHeight="1" x14ac:dyDescent="0.2">
      <c r="A299" s="4">
        <v>23.2</v>
      </c>
      <c r="B299" s="5" t="s">
        <v>1865</v>
      </c>
      <c r="C299" s="5" t="s">
        <v>2121</v>
      </c>
      <c r="D299" s="7" t="s">
        <v>30</v>
      </c>
      <c r="E299" s="6">
        <v>40</v>
      </c>
    </row>
    <row r="300" spans="1:5" ht="22.5" customHeight="1" x14ac:dyDescent="0.2">
      <c r="A300" s="4">
        <v>23.21</v>
      </c>
      <c r="B300" s="5" t="s">
        <v>1865</v>
      </c>
      <c r="C300" s="5" t="s">
        <v>2122</v>
      </c>
      <c r="D300" s="7" t="s">
        <v>30</v>
      </c>
      <c r="E300" s="6">
        <v>40</v>
      </c>
    </row>
    <row r="301" spans="1:5" ht="22.5" customHeight="1" x14ac:dyDescent="0.2">
      <c r="A301" s="4">
        <v>23.22</v>
      </c>
      <c r="B301" s="5" t="s">
        <v>1865</v>
      </c>
      <c r="C301" s="5" t="s">
        <v>2123</v>
      </c>
      <c r="D301" s="7" t="s">
        <v>35</v>
      </c>
      <c r="E301" s="6">
        <v>100</v>
      </c>
    </row>
    <row r="302" spans="1:5" ht="22.5" customHeight="1" x14ac:dyDescent="0.2">
      <c r="A302" s="4">
        <v>23.23</v>
      </c>
      <c r="B302" s="5" t="s">
        <v>1865</v>
      </c>
      <c r="C302" s="5" t="s">
        <v>2124</v>
      </c>
      <c r="D302" s="7" t="s">
        <v>35</v>
      </c>
      <c r="E302" s="6">
        <v>100</v>
      </c>
    </row>
    <row r="303" spans="1:5" ht="22.5" customHeight="1" x14ac:dyDescent="0.2">
      <c r="A303" s="4">
        <v>23.24</v>
      </c>
      <c r="B303" s="5" t="s">
        <v>1865</v>
      </c>
      <c r="C303" s="5" t="s">
        <v>2125</v>
      </c>
      <c r="D303" s="7" t="s">
        <v>35</v>
      </c>
      <c r="E303" s="6">
        <v>100</v>
      </c>
    </row>
    <row r="304" spans="1:5" ht="22.5" customHeight="1" x14ac:dyDescent="0.2">
      <c r="A304" s="4">
        <v>23.25</v>
      </c>
      <c r="B304" s="5" t="s">
        <v>1865</v>
      </c>
      <c r="C304" s="5" t="s">
        <v>2126</v>
      </c>
      <c r="D304" s="7" t="s">
        <v>35</v>
      </c>
      <c r="E304" s="6">
        <v>100</v>
      </c>
    </row>
    <row r="305" spans="1:5" ht="22.5" customHeight="1" x14ac:dyDescent="0.2">
      <c r="A305" s="4">
        <v>23.26</v>
      </c>
      <c r="B305" s="5" t="s">
        <v>1865</v>
      </c>
      <c r="C305" s="5" t="s">
        <v>2127</v>
      </c>
      <c r="D305" s="7" t="s">
        <v>35</v>
      </c>
      <c r="E305" s="6">
        <v>100</v>
      </c>
    </row>
    <row r="306" spans="1:5" ht="22.5" customHeight="1" x14ac:dyDescent="0.2">
      <c r="A306" s="4">
        <v>23.27</v>
      </c>
      <c r="B306" s="5" t="s">
        <v>1865</v>
      </c>
      <c r="C306" s="5" t="s">
        <v>2128</v>
      </c>
      <c r="D306" s="7" t="s">
        <v>30</v>
      </c>
      <c r="E306" s="6">
        <v>40</v>
      </c>
    </row>
    <row r="307" spans="1:5" ht="22.5" customHeight="1" x14ac:dyDescent="0.2">
      <c r="A307" s="4">
        <v>23.28</v>
      </c>
      <c r="B307" s="5" t="s">
        <v>1865</v>
      </c>
      <c r="C307" s="5" t="s">
        <v>2129</v>
      </c>
      <c r="D307" s="7" t="s">
        <v>30</v>
      </c>
      <c r="E307" s="6">
        <v>40</v>
      </c>
    </row>
    <row r="308" spans="1:5" ht="22.5" customHeight="1" x14ac:dyDescent="0.2">
      <c r="A308" s="4">
        <v>23.29</v>
      </c>
      <c r="B308" s="5" t="s">
        <v>1865</v>
      </c>
      <c r="C308" s="5" t="s">
        <v>1866</v>
      </c>
      <c r="D308" s="7" t="s">
        <v>30</v>
      </c>
      <c r="E308" s="6">
        <v>40</v>
      </c>
    </row>
    <row r="309" spans="1:5" ht="22.5" customHeight="1" x14ac:dyDescent="0.2">
      <c r="A309" s="4">
        <v>23.3</v>
      </c>
      <c r="B309" s="5" t="s">
        <v>1865</v>
      </c>
      <c r="C309" s="5" t="s">
        <v>2130</v>
      </c>
      <c r="D309" s="7" t="s">
        <v>35</v>
      </c>
      <c r="E309" s="6">
        <v>100</v>
      </c>
    </row>
    <row r="310" spans="1:5" ht="22.5" customHeight="1" x14ac:dyDescent="0.2">
      <c r="A310" s="4">
        <v>23.31</v>
      </c>
      <c r="B310" s="5" t="s">
        <v>1865</v>
      </c>
      <c r="C310" s="5" t="s">
        <v>2131</v>
      </c>
      <c r="D310" s="7" t="s">
        <v>30</v>
      </c>
      <c r="E310" s="6">
        <v>40</v>
      </c>
    </row>
    <row r="311" spans="1:5" ht="22.5" customHeight="1" x14ac:dyDescent="0.2">
      <c r="A311" s="4">
        <v>24.1</v>
      </c>
      <c r="B311" s="5" t="s">
        <v>1868</v>
      </c>
      <c r="C311" s="5" t="s">
        <v>2132</v>
      </c>
      <c r="D311" s="7" t="s">
        <v>27</v>
      </c>
      <c r="E311" s="6">
        <v>16</v>
      </c>
    </row>
    <row r="312" spans="1:5" ht="22.5" customHeight="1" x14ac:dyDescent="0.2">
      <c r="A312" s="4">
        <v>24.2</v>
      </c>
      <c r="B312" s="5" t="s">
        <v>1868</v>
      </c>
      <c r="C312" s="5" t="s">
        <v>1869</v>
      </c>
      <c r="D312" s="7" t="s">
        <v>35</v>
      </c>
      <c r="E312" s="6">
        <v>100</v>
      </c>
    </row>
    <row r="313" spans="1:5" ht="22.5" customHeight="1" x14ac:dyDescent="0.2">
      <c r="A313" s="4">
        <v>24.3</v>
      </c>
      <c r="B313" s="5" t="s">
        <v>1868</v>
      </c>
      <c r="C313" s="5" t="s">
        <v>1871</v>
      </c>
      <c r="D313" s="7" t="s">
        <v>30</v>
      </c>
      <c r="E313" s="6">
        <v>40</v>
      </c>
    </row>
    <row r="314" spans="1:5" ht="22.5" customHeight="1" x14ac:dyDescent="0.2">
      <c r="A314" s="4">
        <v>24.4</v>
      </c>
      <c r="B314" s="5" t="s">
        <v>1868</v>
      </c>
      <c r="C314" s="5" t="s">
        <v>2133</v>
      </c>
      <c r="D314" s="7" t="s">
        <v>30</v>
      </c>
      <c r="E314" s="6">
        <v>40</v>
      </c>
    </row>
    <row r="315" spans="1:5" ht="22.5" customHeight="1" x14ac:dyDescent="0.2">
      <c r="A315" s="4">
        <v>24.5</v>
      </c>
      <c r="B315" s="5" t="s">
        <v>1868</v>
      </c>
      <c r="C315" s="5" t="s">
        <v>2134</v>
      </c>
      <c r="D315" s="7" t="s">
        <v>35</v>
      </c>
      <c r="E315" s="6">
        <v>100</v>
      </c>
    </row>
    <row r="316" spans="1:5" ht="22.5" customHeight="1" x14ac:dyDescent="0.2">
      <c r="A316" s="4">
        <v>24.6</v>
      </c>
      <c r="B316" s="5" t="s">
        <v>1868</v>
      </c>
      <c r="C316" s="5" t="s">
        <v>2135</v>
      </c>
      <c r="D316" s="7" t="s">
        <v>30</v>
      </c>
      <c r="E316" s="6">
        <v>40</v>
      </c>
    </row>
    <row r="317" spans="1:5" ht="22.5" customHeight="1" x14ac:dyDescent="0.2">
      <c r="A317" s="4">
        <v>24.7</v>
      </c>
      <c r="B317" s="5" t="s">
        <v>1868</v>
      </c>
      <c r="C317" s="5" t="s">
        <v>2136</v>
      </c>
      <c r="D317" s="7" t="s">
        <v>30</v>
      </c>
      <c r="E317" s="6">
        <v>40</v>
      </c>
    </row>
    <row r="318" spans="1:5" ht="22.5" customHeight="1" x14ac:dyDescent="0.2">
      <c r="A318" s="4">
        <v>24.8</v>
      </c>
      <c r="B318" s="5" t="s">
        <v>1868</v>
      </c>
      <c r="C318" s="5" t="s">
        <v>2137</v>
      </c>
      <c r="D318" s="7" t="s">
        <v>35</v>
      </c>
      <c r="E318" s="6">
        <v>100</v>
      </c>
    </row>
    <row r="319" spans="1:5" ht="22.5" customHeight="1" x14ac:dyDescent="0.2">
      <c r="A319" s="4">
        <v>24.9</v>
      </c>
      <c r="B319" s="5" t="s">
        <v>1868</v>
      </c>
      <c r="C319" s="5" t="s">
        <v>2138</v>
      </c>
      <c r="D319" s="7" t="s">
        <v>30</v>
      </c>
      <c r="E319" s="6">
        <v>40</v>
      </c>
    </row>
    <row r="320" spans="1:5" ht="22.5" customHeight="1" x14ac:dyDescent="0.2">
      <c r="A320" s="4">
        <v>24.1</v>
      </c>
      <c r="B320" s="5" t="s">
        <v>1868</v>
      </c>
      <c r="C320" s="5" t="s">
        <v>2139</v>
      </c>
      <c r="D320" s="7" t="s">
        <v>30</v>
      </c>
      <c r="E320" s="6">
        <v>40</v>
      </c>
    </row>
    <row r="321" spans="1:5" ht="22.5" customHeight="1" x14ac:dyDescent="0.2">
      <c r="A321" s="4">
        <v>24.11</v>
      </c>
      <c r="B321" s="5" t="s">
        <v>1868</v>
      </c>
      <c r="C321" s="5" t="s">
        <v>2140</v>
      </c>
      <c r="D321" s="7" t="s">
        <v>35</v>
      </c>
      <c r="E321" s="6">
        <v>100</v>
      </c>
    </row>
    <row r="322" spans="1:5" ht="22.5" customHeight="1" x14ac:dyDescent="0.2">
      <c r="A322" s="4">
        <v>24.12</v>
      </c>
      <c r="B322" s="5" t="s">
        <v>1868</v>
      </c>
      <c r="C322" s="5" t="s">
        <v>2141</v>
      </c>
      <c r="D322" s="7" t="s">
        <v>30</v>
      </c>
      <c r="E322" s="6">
        <v>40</v>
      </c>
    </row>
    <row r="323" spans="1:5" ht="22.5" customHeight="1" x14ac:dyDescent="0.2">
      <c r="A323" s="4">
        <v>24.13</v>
      </c>
      <c r="B323" s="5" t="s">
        <v>1868</v>
      </c>
      <c r="C323" s="5" t="s">
        <v>2142</v>
      </c>
      <c r="D323" s="7" t="s">
        <v>30</v>
      </c>
      <c r="E323" s="6">
        <v>40</v>
      </c>
    </row>
    <row r="324" spans="1:5" ht="22.5" customHeight="1" x14ac:dyDescent="0.2">
      <c r="A324" s="4">
        <v>24.14</v>
      </c>
      <c r="B324" s="5" t="s">
        <v>1868</v>
      </c>
      <c r="C324" s="5" t="s">
        <v>2143</v>
      </c>
      <c r="D324" s="7" t="s">
        <v>35</v>
      </c>
      <c r="E324" s="6">
        <v>100</v>
      </c>
    </row>
    <row r="325" spans="1:5" ht="22.5" customHeight="1" x14ac:dyDescent="0.2">
      <c r="A325" s="4">
        <v>24.15</v>
      </c>
      <c r="B325" s="5" t="s">
        <v>1868</v>
      </c>
      <c r="C325" s="5" t="s">
        <v>2144</v>
      </c>
      <c r="D325" s="7" t="s">
        <v>30</v>
      </c>
      <c r="E325" s="6">
        <v>40</v>
      </c>
    </row>
    <row r="326" spans="1:5" ht="22.5" customHeight="1" x14ac:dyDescent="0.2">
      <c r="A326" s="4">
        <v>24.16</v>
      </c>
      <c r="B326" s="5" t="s">
        <v>1868</v>
      </c>
      <c r="C326" s="5" t="s">
        <v>2145</v>
      </c>
      <c r="D326" s="7" t="s">
        <v>30</v>
      </c>
      <c r="E326" s="6">
        <v>40</v>
      </c>
    </row>
    <row r="327" spans="1:5" ht="22.5" customHeight="1" x14ac:dyDescent="0.2">
      <c r="A327" s="4">
        <v>24.17</v>
      </c>
      <c r="B327" s="5" t="s">
        <v>1868</v>
      </c>
      <c r="C327" s="5" t="s">
        <v>2146</v>
      </c>
      <c r="D327" s="7" t="s">
        <v>35</v>
      </c>
      <c r="E327" s="6">
        <v>100</v>
      </c>
    </row>
    <row r="328" spans="1:5" ht="22.5" customHeight="1" x14ac:dyDescent="0.2">
      <c r="A328" s="4">
        <v>24.18</v>
      </c>
      <c r="B328" s="5" t="s">
        <v>1868</v>
      </c>
      <c r="C328" s="5" t="s">
        <v>2147</v>
      </c>
      <c r="D328" s="7" t="s">
        <v>35</v>
      </c>
      <c r="E328" s="6">
        <v>100</v>
      </c>
    </row>
    <row r="329" spans="1:5" ht="22.5" customHeight="1" x14ac:dyDescent="0.2">
      <c r="A329" s="4">
        <v>24.19</v>
      </c>
      <c r="B329" s="5" t="s">
        <v>1868</v>
      </c>
      <c r="C329" s="5" t="s">
        <v>2148</v>
      </c>
      <c r="D329" s="7" t="s">
        <v>30</v>
      </c>
      <c r="E329" s="6">
        <v>40</v>
      </c>
    </row>
    <row r="330" spans="1:5" ht="22.5" customHeight="1" x14ac:dyDescent="0.2">
      <c r="A330" s="4">
        <v>24.2</v>
      </c>
      <c r="B330" s="5" t="s">
        <v>1868</v>
      </c>
      <c r="C330" s="5" t="s">
        <v>2149</v>
      </c>
      <c r="D330" s="7" t="s">
        <v>35</v>
      </c>
      <c r="E330" s="6">
        <v>100</v>
      </c>
    </row>
    <row r="331" spans="1:5" ht="22.5" customHeight="1" x14ac:dyDescent="0.2">
      <c r="A331" s="4">
        <v>24.21</v>
      </c>
      <c r="B331" s="5" t="s">
        <v>1868</v>
      </c>
      <c r="C331" s="5" t="s">
        <v>2150</v>
      </c>
      <c r="D331" s="7" t="s">
        <v>35</v>
      </c>
      <c r="E331" s="6">
        <v>100</v>
      </c>
    </row>
    <row r="332" spans="1:5" ht="22.5" customHeight="1" x14ac:dyDescent="0.2">
      <c r="A332" s="4">
        <v>24.22</v>
      </c>
      <c r="B332" s="5" t="s">
        <v>1868</v>
      </c>
      <c r="C332" s="5" t="s">
        <v>2151</v>
      </c>
      <c r="D332" s="7" t="s">
        <v>30</v>
      </c>
      <c r="E332" s="6">
        <v>40</v>
      </c>
    </row>
    <row r="333" spans="1:5" ht="22.5" customHeight="1" x14ac:dyDescent="0.2">
      <c r="A333" s="4">
        <v>24.23</v>
      </c>
      <c r="B333" s="5" t="s">
        <v>1868</v>
      </c>
      <c r="C333" s="5" t="s">
        <v>2152</v>
      </c>
      <c r="D333" s="7" t="s">
        <v>35</v>
      </c>
      <c r="E333" s="6">
        <v>100</v>
      </c>
    </row>
    <row r="334" spans="1:5" ht="22.5" customHeight="1" x14ac:dyDescent="0.2">
      <c r="A334" s="4">
        <v>24.24</v>
      </c>
      <c r="B334" s="5" t="s">
        <v>1868</v>
      </c>
      <c r="C334" s="5" t="s">
        <v>2153</v>
      </c>
      <c r="D334" s="7" t="s">
        <v>35</v>
      </c>
      <c r="E334" s="6">
        <v>100</v>
      </c>
    </row>
    <row r="335" spans="1:5" ht="22.5" customHeight="1" x14ac:dyDescent="0.2">
      <c r="A335" s="4">
        <v>24.25</v>
      </c>
      <c r="B335" s="5" t="s">
        <v>1868</v>
      </c>
      <c r="C335" s="5" t="s">
        <v>2154</v>
      </c>
      <c r="D335" s="7" t="s">
        <v>30</v>
      </c>
      <c r="E335" s="6">
        <v>40</v>
      </c>
    </row>
    <row r="336" spans="1:5" ht="22.5" customHeight="1" x14ac:dyDescent="0.2">
      <c r="A336" s="4">
        <v>24.26</v>
      </c>
      <c r="B336" s="5" t="s">
        <v>1868</v>
      </c>
      <c r="C336" s="5" t="s">
        <v>2155</v>
      </c>
      <c r="D336" s="7" t="s">
        <v>35</v>
      </c>
      <c r="E336" s="6">
        <v>100</v>
      </c>
    </row>
    <row r="337" spans="1:5" ht="22.5" customHeight="1" x14ac:dyDescent="0.2">
      <c r="A337" s="4">
        <v>24.27</v>
      </c>
      <c r="B337" s="5" t="s">
        <v>1868</v>
      </c>
      <c r="C337" s="5" t="s">
        <v>2156</v>
      </c>
      <c r="D337" s="7" t="s">
        <v>35</v>
      </c>
      <c r="E337" s="6">
        <v>100</v>
      </c>
    </row>
    <row r="338" spans="1:5" ht="22.5" customHeight="1" x14ac:dyDescent="0.2">
      <c r="A338" s="4">
        <v>25.1</v>
      </c>
      <c r="B338" s="5" t="s">
        <v>2157</v>
      </c>
      <c r="C338" s="5" t="s">
        <v>2158</v>
      </c>
      <c r="D338" s="7" t="s">
        <v>30</v>
      </c>
      <c r="E338" s="6">
        <v>40</v>
      </c>
    </row>
    <row r="339" spans="1:5" ht="22.5" customHeight="1" x14ac:dyDescent="0.2">
      <c r="A339" s="4">
        <v>25.2</v>
      </c>
      <c r="B339" s="5" t="s">
        <v>2157</v>
      </c>
      <c r="C339" s="5" t="s">
        <v>2159</v>
      </c>
      <c r="D339" s="7" t="s">
        <v>30</v>
      </c>
      <c r="E339" s="6">
        <v>40</v>
      </c>
    </row>
    <row r="340" spans="1:5" ht="22.5" customHeight="1" x14ac:dyDescent="0.2">
      <c r="A340" s="4">
        <v>25.3</v>
      </c>
      <c r="B340" s="5" t="s">
        <v>2157</v>
      </c>
      <c r="C340" s="5" t="s">
        <v>2160</v>
      </c>
      <c r="D340" s="7" t="s">
        <v>35</v>
      </c>
      <c r="E340" s="6">
        <v>100</v>
      </c>
    </row>
    <row r="341" spans="1:5" ht="22.5" customHeight="1" x14ac:dyDescent="0.2">
      <c r="A341" s="4">
        <v>25.4</v>
      </c>
      <c r="B341" s="5" t="s">
        <v>2157</v>
      </c>
      <c r="C341" s="5" t="s">
        <v>2161</v>
      </c>
      <c r="D341" s="7" t="s">
        <v>30</v>
      </c>
      <c r="E341" s="6">
        <v>40</v>
      </c>
    </row>
    <row r="342" spans="1:5" ht="22.5" customHeight="1" x14ac:dyDescent="0.2">
      <c r="A342" s="4">
        <v>25.5</v>
      </c>
      <c r="B342" s="5" t="s">
        <v>2157</v>
      </c>
      <c r="C342" s="5" t="s">
        <v>2162</v>
      </c>
      <c r="D342" s="7" t="s">
        <v>30</v>
      </c>
      <c r="E342" s="6">
        <v>40</v>
      </c>
    </row>
    <row r="343" spans="1:5" ht="22.5" customHeight="1" x14ac:dyDescent="0.2">
      <c r="A343" s="4">
        <v>25.6</v>
      </c>
      <c r="B343" s="5" t="s">
        <v>2157</v>
      </c>
      <c r="C343" s="5" t="s">
        <v>2163</v>
      </c>
      <c r="D343" s="7" t="s">
        <v>30</v>
      </c>
      <c r="E343" s="6">
        <v>40</v>
      </c>
    </row>
    <row r="344" spans="1:5" ht="22.5" customHeight="1" x14ac:dyDescent="0.2">
      <c r="A344" s="4">
        <v>25.7</v>
      </c>
      <c r="B344" s="5" t="s">
        <v>2157</v>
      </c>
      <c r="C344" s="5" t="s">
        <v>2164</v>
      </c>
      <c r="D344" s="7" t="s">
        <v>30</v>
      </c>
      <c r="E344" s="6">
        <v>40</v>
      </c>
    </row>
    <row r="345" spans="1:5" ht="22.5" customHeight="1" x14ac:dyDescent="0.2">
      <c r="A345" s="4">
        <v>25.8</v>
      </c>
      <c r="B345" s="5" t="s">
        <v>2157</v>
      </c>
      <c r="C345" s="5" t="s">
        <v>2165</v>
      </c>
      <c r="D345" s="7" t="s">
        <v>30</v>
      </c>
      <c r="E345" s="6">
        <v>40</v>
      </c>
    </row>
    <row r="346" spans="1:5" ht="22.5" customHeight="1" x14ac:dyDescent="0.2">
      <c r="A346" s="4">
        <v>25.9</v>
      </c>
      <c r="B346" s="5" t="s">
        <v>2157</v>
      </c>
      <c r="C346" s="5" t="s">
        <v>2166</v>
      </c>
      <c r="D346" s="7" t="s">
        <v>27</v>
      </c>
      <c r="E346" s="6">
        <v>16</v>
      </c>
    </row>
    <row r="347" spans="1:5" ht="22.5" customHeight="1" x14ac:dyDescent="0.2">
      <c r="A347" s="4">
        <v>25.1</v>
      </c>
      <c r="B347" s="5" t="s">
        <v>2157</v>
      </c>
      <c r="C347" s="5" t="s">
        <v>2167</v>
      </c>
      <c r="D347" s="7" t="s">
        <v>30</v>
      </c>
      <c r="E347" s="6">
        <v>40</v>
      </c>
    </row>
    <row r="348" spans="1:5" ht="22.5" customHeight="1" x14ac:dyDescent="0.2">
      <c r="A348" s="4">
        <v>25.11</v>
      </c>
      <c r="B348" s="5" t="s">
        <v>2157</v>
      </c>
      <c r="C348" s="5" t="s">
        <v>2168</v>
      </c>
      <c r="D348" s="7" t="s">
        <v>30</v>
      </c>
      <c r="E348" s="6">
        <v>40</v>
      </c>
    </row>
    <row r="349" spans="1:5" ht="22.5" customHeight="1" x14ac:dyDescent="0.2">
      <c r="A349" s="4">
        <v>25.12</v>
      </c>
      <c r="B349" s="5" t="s">
        <v>2157</v>
      </c>
      <c r="C349" s="5" t="s">
        <v>2169</v>
      </c>
      <c r="D349" s="7" t="s">
        <v>30</v>
      </c>
      <c r="E349" s="6">
        <v>40</v>
      </c>
    </row>
    <row r="350" spans="1:5" ht="22.5" customHeight="1" x14ac:dyDescent="0.2">
      <c r="A350" s="4">
        <v>25.13</v>
      </c>
      <c r="B350" s="5" t="s">
        <v>2157</v>
      </c>
      <c r="C350" s="5" t="s">
        <v>2170</v>
      </c>
      <c r="D350" s="7" t="s">
        <v>30</v>
      </c>
      <c r="E350" s="6">
        <v>40</v>
      </c>
    </row>
    <row r="351" spans="1:5" ht="22.5" customHeight="1" x14ac:dyDescent="0.2">
      <c r="A351" s="4">
        <v>25.14</v>
      </c>
      <c r="B351" s="5" t="s">
        <v>2157</v>
      </c>
      <c r="C351" s="5" t="s">
        <v>2171</v>
      </c>
      <c r="D351" s="7" t="s">
        <v>30</v>
      </c>
      <c r="E351" s="6">
        <v>40</v>
      </c>
    </row>
    <row r="352" spans="1:5" ht="22.5" customHeight="1" x14ac:dyDescent="0.2">
      <c r="A352" s="4">
        <v>25.15</v>
      </c>
      <c r="B352" s="5" t="s">
        <v>2157</v>
      </c>
      <c r="C352" s="5" t="s">
        <v>1971</v>
      </c>
      <c r="D352" s="7" t="s">
        <v>30</v>
      </c>
      <c r="E352" s="6">
        <v>40</v>
      </c>
    </row>
    <row r="353" spans="1:5" ht="22.5" customHeight="1" x14ac:dyDescent="0.2">
      <c r="A353" s="4">
        <v>25.16</v>
      </c>
      <c r="B353" s="5" t="s">
        <v>2157</v>
      </c>
      <c r="C353" s="5" t="s">
        <v>2172</v>
      </c>
      <c r="D353" s="7" t="s">
        <v>30</v>
      </c>
      <c r="E353" s="6">
        <v>40</v>
      </c>
    </row>
    <row r="354" spans="1:5" ht="22.5" customHeight="1" x14ac:dyDescent="0.2">
      <c r="A354" s="4">
        <v>25.17</v>
      </c>
      <c r="B354" s="5" t="s">
        <v>2157</v>
      </c>
      <c r="C354" s="5" t="s">
        <v>2173</v>
      </c>
      <c r="D354" s="7" t="s">
        <v>30</v>
      </c>
      <c r="E354" s="6">
        <v>40</v>
      </c>
    </row>
    <row r="355" spans="1:5" ht="22.5" customHeight="1" x14ac:dyDescent="0.2">
      <c r="A355" s="4">
        <v>25.18</v>
      </c>
      <c r="B355" s="5" t="s">
        <v>2157</v>
      </c>
      <c r="C355" s="5" t="s">
        <v>2174</v>
      </c>
      <c r="D355" s="7" t="s">
        <v>30</v>
      </c>
      <c r="E355" s="6">
        <v>40</v>
      </c>
    </row>
    <row r="356" spans="1:5" ht="22.5" customHeight="1" x14ac:dyDescent="0.2">
      <c r="A356" s="4">
        <v>25.19</v>
      </c>
      <c r="B356" s="5" t="s">
        <v>2157</v>
      </c>
      <c r="C356" s="5" t="s">
        <v>2175</v>
      </c>
      <c r="D356" s="7" t="s">
        <v>30</v>
      </c>
      <c r="E356" s="6">
        <v>40</v>
      </c>
    </row>
    <row r="357" spans="1:5" ht="22.5" customHeight="1" x14ac:dyDescent="0.2">
      <c r="A357" s="4">
        <v>25.2</v>
      </c>
      <c r="B357" s="5" t="s">
        <v>2157</v>
      </c>
      <c r="C357" s="5" t="s">
        <v>2176</v>
      </c>
      <c r="D357" s="7" t="s">
        <v>30</v>
      </c>
      <c r="E357" s="6">
        <v>40</v>
      </c>
    </row>
    <row r="358" spans="1:5" ht="22.5" customHeight="1" x14ac:dyDescent="0.2">
      <c r="A358" s="4">
        <v>25.21</v>
      </c>
      <c r="B358" s="5" t="s">
        <v>2157</v>
      </c>
      <c r="C358" s="5" t="s">
        <v>2177</v>
      </c>
      <c r="D358" s="7" t="s">
        <v>30</v>
      </c>
      <c r="E358" s="6">
        <v>40</v>
      </c>
    </row>
    <row r="359" spans="1:5" ht="22.5" customHeight="1" x14ac:dyDescent="0.2">
      <c r="A359" s="4">
        <v>25.22</v>
      </c>
      <c r="B359" s="5" t="s">
        <v>2157</v>
      </c>
      <c r="C359" s="5" t="s">
        <v>2178</v>
      </c>
      <c r="D359" s="7" t="s">
        <v>27</v>
      </c>
      <c r="E359" s="6">
        <v>16</v>
      </c>
    </row>
    <row r="360" spans="1:5" ht="22.5" customHeight="1" x14ac:dyDescent="0.2">
      <c r="A360" s="4">
        <v>25.23</v>
      </c>
      <c r="B360" s="5" t="s">
        <v>2157</v>
      </c>
      <c r="C360" s="5" t="s">
        <v>2179</v>
      </c>
      <c r="D360" s="7" t="s">
        <v>27</v>
      </c>
      <c r="E360" s="6">
        <v>16</v>
      </c>
    </row>
    <row r="361" spans="1:5" ht="22.5" customHeight="1" x14ac:dyDescent="0.2">
      <c r="A361" s="4">
        <v>25.24</v>
      </c>
      <c r="B361" s="5" t="s">
        <v>2157</v>
      </c>
      <c r="C361" s="5" t="s">
        <v>2180</v>
      </c>
      <c r="D361" s="7" t="s">
        <v>30</v>
      </c>
      <c r="E361" s="6">
        <v>40</v>
      </c>
    </row>
    <row r="362" spans="1:5" ht="22.5" customHeight="1" x14ac:dyDescent="0.2">
      <c r="A362" s="4">
        <v>25.25</v>
      </c>
      <c r="B362" s="5" t="s">
        <v>2157</v>
      </c>
      <c r="C362" s="5" t="s">
        <v>2181</v>
      </c>
      <c r="D362" s="7" t="s">
        <v>27</v>
      </c>
      <c r="E362" s="6">
        <v>16</v>
      </c>
    </row>
    <row r="363" spans="1:5" ht="22.5" customHeight="1" x14ac:dyDescent="0.2">
      <c r="A363" s="4">
        <v>26.1</v>
      </c>
      <c r="B363" s="5" t="s">
        <v>2182</v>
      </c>
      <c r="C363" s="5" t="s">
        <v>2159</v>
      </c>
      <c r="D363" s="7" t="s">
        <v>30</v>
      </c>
      <c r="E363" s="6">
        <v>40</v>
      </c>
    </row>
    <row r="364" spans="1:5" ht="22.5" customHeight="1" x14ac:dyDescent="0.2">
      <c r="A364" s="4">
        <v>26.2</v>
      </c>
      <c r="B364" s="5" t="s">
        <v>2182</v>
      </c>
      <c r="C364" s="5" t="s">
        <v>2183</v>
      </c>
      <c r="D364" s="7" t="s">
        <v>30</v>
      </c>
      <c r="E364" s="6">
        <v>40</v>
      </c>
    </row>
    <row r="365" spans="1:5" ht="22.5" customHeight="1" x14ac:dyDescent="0.2">
      <c r="A365" s="4">
        <v>26.3</v>
      </c>
      <c r="B365" s="5" t="s">
        <v>2182</v>
      </c>
      <c r="C365" s="5" t="s">
        <v>2184</v>
      </c>
      <c r="D365" s="7" t="s">
        <v>30</v>
      </c>
      <c r="E365" s="6">
        <v>40</v>
      </c>
    </row>
    <row r="366" spans="1:5" ht="22.5" customHeight="1" x14ac:dyDescent="0.2">
      <c r="A366" s="4">
        <v>26.4</v>
      </c>
      <c r="B366" s="5" t="s">
        <v>2182</v>
      </c>
      <c r="C366" s="5" t="s">
        <v>2185</v>
      </c>
      <c r="D366" s="7" t="s">
        <v>30</v>
      </c>
      <c r="E366" s="6">
        <v>40</v>
      </c>
    </row>
    <row r="367" spans="1:5" ht="22.5" customHeight="1" x14ac:dyDescent="0.2">
      <c r="A367" s="4">
        <v>26.5</v>
      </c>
      <c r="B367" s="5" t="s">
        <v>2182</v>
      </c>
      <c r="C367" s="5" t="s">
        <v>2186</v>
      </c>
      <c r="D367" s="7" t="s">
        <v>30</v>
      </c>
      <c r="E367" s="6">
        <v>40</v>
      </c>
    </row>
    <row r="368" spans="1:5" ht="22.5" customHeight="1" x14ac:dyDescent="0.2">
      <c r="A368" s="4">
        <v>26.6</v>
      </c>
      <c r="B368" s="5" t="s">
        <v>2182</v>
      </c>
      <c r="C368" s="5" t="s">
        <v>2187</v>
      </c>
      <c r="D368" s="7" t="s">
        <v>35</v>
      </c>
      <c r="E368" s="6">
        <v>100</v>
      </c>
    </row>
    <row r="369" spans="1:5" ht="22.5" customHeight="1" x14ac:dyDescent="0.2">
      <c r="A369" s="4">
        <v>26.7</v>
      </c>
      <c r="B369" s="5" t="s">
        <v>2182</v>
      </c>
      <c r="C369" s="5" t="s">
        <v>2188</v>
      </c>
      <c r="D369" s="7" t="s">
        <v>30</v>
      </c>
      <c r="E369" s="6">
        <v>40</v>
      </c>
    </row>
    <row r="370" spans="1:5" ht="22.5" customHeight="1" x14ac:dyDescent="0.2">
      <c r="A370" s="4">
        <v>26.8</v>
      </c>
      <c r="B370" s="5" t="s">
        <v>2182</v>
      </c>
      <c r="C370" s="5" t="s">
        <v>2189</v>
      </c>
      <c r="D370" s="7" t="s">
        <v>27</v>
      </c>
      <c r="E370" s="6">
        <v>16</v>
      </c>
    </row>
    <row r="371" spans="1:5" ht="22.5" customHeight="1" x14ac:dyDescent="0.2">
      <c r="A371" s="4">
        <v>26.9</v>
      </c>
      <c r="B371" s="5" t="s">
        <v>2182</v>
      </c>
      <c r="C371" s="5" t="s">
        <v>2190</v>
      </c>
      <c r="D371" s="7" t="s">
        <v>30</v>
      </c>
      <c r="E371" s="6">
        <v>40</v>
      </c>
    </row>
    <row r="372" spans="1:5" ht="22.5" customHeight="1" x14ac:dyDescent="0.2">
      <c r="A372" s="4">
        <v>26.1</v>
      </c>
      <c r="B372" s="5" t="s">
        <v>2182</v>
      </c>
      <c r="C372" s="5" t="s">
        <v>2191</v>
      </c>
      <c r="D372" s="7" t="s">
        <v>30</v>
      </c>
      <c r="E372" s="6">
        <v>40</v>
      </c>
    </row>
    <row r="373" spans="1:5" ht="22.5" customHeight="1" x14ac:dyDescent="0.2">
      <c r="A373" s="4">
        <v>26.11</v>
      </c>
      <c r="B373" s="5" t="s">
        <v>2182</v>
      </c>
      <c r="C373" s="5" t="s">
        <v>2192</v>
      </c>
      <c r="D373" s="7" t="s">
        <v>30</v>
      </c>
      <c r="E373" s="6">
        <v>40</v>
      </c>
    </row>
    <row r="374" spans="1:5" ht="22.5" customHeight="1" x14ac:dyDescent="0.2">
      <c r="A374" s="4">
        <v>26.12</v>
      </c>
      <c r="B374" s="5" t="s">
        <v>2182</v>
      </c>
      <c r="C374" s="5" t="s">
        <v>2097</v>
      </c>
      <c r="D374" s="7" t="s">
        <v>30</v>
      </c>
      <c r="E374" s="6">
        <v>40</v>
      </c>
    </row>
    <row r="375" spans="1:5" ht="22.5" customHeight="1" x14ac:dyDescent="0.2">
      <c r="A375" s="4">
        <v>26.13</v>
      </c>
      <c r="B375" s="5" t="s">
        <v>2182</v>
      </c>
      <c r="C375" s="5" t="s">
        <v>1907</v>
      </c>
      <c r="D375" s="7" t="s">
        <v>30</v>
      </c>
      <c r="E375" s="6">
        <v>40</v>
      </c>
    </row>
    <row r="376" spans="1:5" ht="22.5" customHeight="1" x14ac:dyDescent="0.2">
      <c r="A376" s="4">
        <v>26.14</v>
      </c>
      <c r="B376" s="5" t="s">
        <v>2182</v>
      </c>
      <c r="C376" s="5" t="s">
        <v>2193</v>
      </c>
      <c r="D376" s="7" t="s">
        <v>30</v>
      </c>
      <c r="E376" s="6">
        <v>40</v>
      </c>
    </row>
    <row r="377" spans="1:5" ht="22.5" customHeight="1" x14ac:dyDescent="0.2">
      <c r="A377" s="4">
        <v>26.15</v>
      </c>
      <c r="B377" s="5" t="s">
        <v>2182</v>
      </c>
      <c r="C377" s="5" t="s">
        <v>2194</v>
      </c>
      <c r="D377" s="7" t="s">
        <v>30</v>
      </c>
      <c r="E377" s="6">
        <v>40</v>
      </c>
    </row>
    <row r="378" spans="1:5" ht="22.5" customHeight="1" x14ac:dyDescent="0.2">
      <c r="A378" s="4">
        <v>26.16</v>
      </c>
      <c r="B378" s="5" t="s">
        <v>2182</v>
      </c>
      <c r="C378" s="5" t="s">
        <v>2195</v>
      </c>
      <c r="D378" s="7" t="s">
        <v>30</v>
      </c>
      <c r="E378" s="6">
        <v>40</v>
      </c>
    </row>
    <row r="379" spans="1:5" ht="22.5" customHeight="1" x14ac:dyDescent="0.2">
      <c r="A379" s="4">
        <v>26.17</v>
      </c>
      <c r="B379" s="5" t="s">
        <v>2182</v>
      </c>
      <c r="C379" s="5" t="s">
        <v>2196</v>
      </c>
      <c r="D379" s="7" t="s">
        <v>27</v>
      </c>
      <c r="E379" s="6">
        <v>16</v>
      </c>
    </row>
    <row r="380" spans="1:5" ht="22.5" customHeight="1" x14ac:dyDescent="0.2">
      <c r="A380" s="4">
        <v>27.1</v>
      </c>
      <c r="B380" s="5" t="s">
        <v>1792</v>
      </c>
      <c r="C380" s="5" t="s">
        <v>2197</v>
      </c>
      <c r="D380" s="7" t="s">
        <v>30</v>
      </c>
      <c r="E380" s="6">
        <v>40</v>
      </c>
    </row>
    <row r="381" spans="1:5" ht="22.5" customHeight="1" x14ac:dyDescent="0.2">
      <c r="A381" s="4">
        <v>27.2</v>
      </c>
      <c r="B381" s="5" t="s">
        <v>1792</v>
      </c>
      <c r="C381" s="5" t="s">
        <v>2198</v>
      </c>
      <c r="D381" s="7" t="s">
        <v>30</v>
      </c>
      <c r="E381" s="6">
        <v>40</v>
      </c>
    </row>
    <row r="382" spans="1:5" ht="22.5" customHeight="1" x14ac:dyDescent="0.2">
      <c r="A382" s="4">
        <v>27.3</v>
      </c>
      <c r="B382" s="5" t="s">
        <v>1792</v>
      </c>
      <c r="C382" s="5" t="s">
        <v>2199</v>
      </c>
      <c r="D382" s="7" t="s">
        <v>27</v>
      </c>
      <c r="E382" s="6">
        <v>16</v>
      </c>
    </row>
    <row r="383" spans="1:5" ht="22.5" customHeight="1" x14ac:dyDescent="0.2">
      <c r="A383" s="4" t="s">
        <v>54</v>
      </c>
      <c r="B383" s="5" t="s">
        <v>510</v>
      </c>
      <c r="C383" s="5" t="s">
        <v>2200</v>
      </c>
      <c r="D383" s="7" t="s">
        <v>35</v>
      </c>
      <c r="E383" s="6">
        <v>100</v>
      </c>
    </row>
    <row r="384" spans="1:5" ht="22.5" customHeight="1" x14ac:dyDescent="0.2">
      <c r="A384" s="4" t="s">
        <v>2201</v>
      </c>
      <c r="B384" s="5" t="s">
        <v>2202</v>
      </c>
      <c r="C384" s="5" t="s">
        <v>2203</v>
      </c>
      <c r="D384" s="7" t="s">
        <v>35</v>
      </c>
      <c r="E384" s="6">
        <v>100</v>
      </c>
    </row>
    <row r="385" spans="1:5" ht="22.5" customHeight="1" x14ac:dyDescent="0.2">
      <c r="A385" s="4" t="s">
        <v>339</v>
      </c>
      <c r="B385" s="5" t="s">
        <v>512</v>
      </c>
      <c r="C385" s="5" t="s">
        <v>2204</v>
      </c>
      <c r="D385" s="7" t="s">
        <v>27</v>
      </c>
      <c r="E385" s="6">
        <v>16</v>
      </c>
    </row>
    <row r="386" spans="1:5" ht="22.5" customHeight="1" x14ac:dyDescent="0.2">
      <c r="A386" s="4" t="s">
        <v>342</v>
      </c>
      <c r="B386" s="5" t="s">
        <v>2205</v>
      </c>
      <c r="C386" s="5" t="s">
        <v>2206</v>
      </c>
      <c r="D386" s="7" t="s">
        <v>30</v>
      </c>
      <c r="E386" s="6">
        <v>40</v>
      </c>
    </row>
    <row r="387" spans="1:5" ht="22.5" customHeight="1" x14ac:dyDescent="0.2">
      <c r="A387" s="4" t="s">
        <v>2207</v>
      </c>
      <c r="B387" s="5" t="s">
        <v>2208</v>
      </c>
      <c r="C387" s="5" t="s">
        <v>2209</v>
      </c>
      <c r="D387" s="7" t="s">
        <v>30</v>
      </c>
      <c r="E387" s="6">
        <v>40</v>
      </c>
    </row>
    <row r="388" spans="1:5" ht="22.5" customHeight="1" x14ac:dyDescent="0.2">
      <c r="A388" s="4" t="s">
        <v>59</v>
      </c>
      <c r="B388" s="5" t="s">
        <v>1873</v>
      </c>
      <c r="C388" s="5" t="s">
        <v>1874</v>
      </c>
      <c r="D388" s="7" t="s">
        <v>30</v>
      </c>
      <c r="E388" s="6">
        <v>40</v>
      </c>
    </row>
    <row r="389" spans="1:5" ht="22.5" customHeight="1" x14ac:dyDescent="0.2">
      <c r="A389" s="4" t="s">
        <v>64</v>
      </c>
      <c r="B389" s="5" t="s">
        <v>2210</v>
      </c>
      <c r="C389" s="5" t="s">
        <v>2211</v>
      </c>
      <c r="D389" s="7" t="s">
        <v>30</v>
      </c>
      <c r="E389" s="6">
        <v>40</v>
      </c>
    </row>
    <row r="390" spans="1:5" ht="22.5" customHeight="1" x14ac:dyDescent="0.2">
      <c r="A390" s="4" t="s">
        <v>69</v>
      </c>
      <c r="B390" s="5" t="s">
        <v>2212</v>
      </c>
      <c r="C390" s="5" t="s">
        <v>2213</v>
      </c>
      <c r="D390" s="7" t="s">
        <v>30</v>
      </c>
      <c r="E390" s="6">
        <v>40</v>
      </c>
    </row>
    <row r="391" spans="1:5" ht="22.5" customHeight="1" x14ac:dyDescent="0.2">
      <c r="A391" s="4" t="s">
        <v>74</v>
      </c>
      <c r="B391" s="5" t="s">
        <v>2214</v>
      </c>
      <c r="C391" s="5" t="s">
        <v>2215</v>
      </c>
      <c r="D391" s="7" t="s">
        <v>30</v>
      </c>
      <c r="E391" s="6">
        <v>40</v>
      </c>
    </row>
    <row r="392" spans="1:5" ht="22.5" customHeight="1" x14ac:dyDescent="0.2">
      <c r="A392" s="4" t="s">
        <v>345</v>
      </c>
      <c r="B392" s="5" t="s">
        <v>2216</v>
      </c>
      <c r="C392" s="5" t="s">
        <v>2217</v>
      </c>
      <c r="D392" s="7" t="s">
        <v>27</v>
      </c>
      <c r="E392" s="6">
        <v>16</v>
      </c>
    </row>
    <row r="393" spans="1:5" ht="22.5" customHeight="1" x14ac:dyDescent="0.2">
      <c r="A393" s="18">
        <f>COUNTA(Detailed_Analysis_6[Step Num])</f>
        <v>386</v>
      </c>
      <c r="B393" s="18"/>
      <c r="C393" s="18"/>
      <c r="D393" s="18"/>
      <c r="E393" s="18">
        <f>SUM(Detailed_Analysis_6[Effort Hours (hrs)])</f>
        <v>20024</v>
      </c>
    </row>
  </sheetData>
  <mergeCells count="2">
    <mergeCell ref="A1:K1"/>
    <mergeCell ref="A2:K2"/>
  </mergeCells>
  <conditionalFormatting sqref="D7:D392">
    <cfRule type="cellIs" dxfId="22" priority="1" operator="equal">
      <formula>"HIGH"</formula>
    </cfRule>
    <cfRule type="cellIs" dxfId="21" priority="2" operator="equal">
      <formula>"MEDIUM"</formula>
    </cfRule>
    <cfRule type="cellIs" dxfId="20" priority="3" operator="equal">
      <formula>"LOW"</formula>
    </cfRule>
  </conditionalFormatting>
  <conditionalFormatting sqref="J7:J29">
    <cfRule type="cellIs" dxfId="19" priority="4" operator="equal">
      <formula>"HIGH"</formula>
    </cfRule>
    <cfRule type="cellIs" dxfId="18" priority="5" operator="equal">
      <formula>"MEDIUM"</formula>
    </cfRule>
    <cfRule type="cellIs" dxfId="17" priority="6" operator="equal">
      <formula>"LOW"</formula>
    </cfRule>
  </conditionalFormatting>
  <dataValidations count="2">
    <dataValidation type="custom" allowBlank="1" showDropDown="1" sqref="O3:P4 G7:G29 K7:K29 A7:A392 E7:E392" xr:uid="{00000000-0002-0000-0600-000000000000}">
      <formula1>AND(ISNUMBER(A3),(NOT(OR(NOT(ISERROR(DATEVALUE(A3))), AND(ISNUMBER(A3), LEFT(CELL("format", A3))="D")))))</formula1>
    </dataValidation>
    <dataValidation type="list" allowBlank="1" sqref="J7:J29 D7:D392" xr:uid="{00000000-0002-0000-0600-000001000000}">
      <formula1>"LOW,MEDIUM,HIGH"</formula1>
    </dataValidation>
  </dataValidations>
  <pageMargins left="0.7" right="0.7" top="0.75" bottom="0.75" header="0.3" footer="0.3"/>
  <ignoredErrors>
    <ignoredError sqref="G29 A383:A392" listDataValidation="1"/>
  </ignoredErrors>
  <tableParts count="3">
    <tablePart r:id="rId1"/>
    <tablePart r:id="rId2"/>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P151"/>
  <sheetViews>
    <sheetView workbookViewId="0">
      <selection activeCell="I17" sqref="I17"/>
    </sheetView>
  </sheetViews>
  <sheetFormatPr defaultColWidth="12.5703125" defaultRowHeight="15.75" customHeight="1" x14ac:dyDescent="0.2"/>
  <cols>
    <col min="1" max="1" width="12.5703125" style="21"/>
    <col min="2" max="2" width="25.5703125" style="21" customWidth="1"/>
    <col min="3" max="3" width="69.140625" style="21" customWidth="1"/>
    <col min="4" max="7" width="12.5703125" style="21"/>
    <col min="8" max="8" width="24.42578125" style="21" customWidth="1"/>
    <col min="9" max="9" width="83.140625" style="21" customWidth="1"/>
    <col min="10" max="13" width="12.5703125" style="21"/>
    <col min="14" max="14" width="21.28515625" style="21" customWidth="1"/>
    <col min="15" max="15" width="18.42578125" style="21" customWidth="1"/>
    <col min="16" max="16" width="25.42578125" style="21" customWidth="1"/>
    <col min="17" max="16384" width="12.5703125" style="21"/>
  </cols>
  <sheetData>
    <row r="1" spans="1:16" ht="38.25" x14ac:dyDescent="0.2">
      <c r="A1" s="25" t="s">
        <v>2218</v>
      </c>
      <c r="B1" s="26"/>
      <c r="C1" s="26"/>
      <c r="D1" s="26"/>
      <c r="E1" s="26"/>
      <c r="F1" s="26"/>
      <c r="G1" s="26"/>
      <c r="H1" s="26"/>
      <c r="I1" s="26"/>
      <c r="J1" s="26"/>
      <c r="K1" s="26"/>
    </row>
    <row r="2" spans="1:16" ht="22.5" customHeight="1" x14ac:dyDescent="0.4">
      <c r="A2" s="27" t="s">
        <v>2219</v>
      </c>
      <c r="B2" s="26"/>
      <c r="C2" s="26"/>
      <c r="D2" s="26"/>
      <c r="E2" s="26"/>
      <c r="F2" s="26"/>
      <c r="G2" s="26"/>
      <c r="H2" s="26"/>
      <c r="I2" s="26"/>
      <c r="J2" s="26"/>
      <c r="K2" s="26"/>
      <c r="N2" s="15" t="s">
        <v>17</v>
      </c>
      <c r="O2" s="15" t="s">
        <v>18</v>
      </c>
      <c r="P2" s="15" t="s">
        <v>3</v>
      </c>
    </row>
    <row r="3" spans="1:16" ht="22.5" customHeight="1" x14ac:dyDescent="0.2">
      <c r="A3" s="1"/>
      <c r="B3" s="1"/>
      <c r="C3" s="2"/>
      <c r="D3" s="1"/>
      <c r="E3" s="2"/>
      <c r="F3" s="1"/>
      <c r="G3" s="1"/>
      <c r="H3" s="1"/>
      <c r="I3" s="2"/>
      <c r="J3" s="1"/>
      <c r="K3" s="2"/>
      <c r="N3" s="18" t="s">
        <v>19</v>
      </c>
      <c r="O3" s="18">
        <f>Detailed_Analysis_7[[#Totals],[Step Num]]</f>
        <v>73</v>
      </c>
      <c r="P3" s="18">
        <f>Detailed_Analysis_7[[#Totals],[Effort Hours (hrs)]]</f>
        <v>2932</v>
      </c>
    </row>
    <row r="4" spans="1:16" ht="22.5" customHeight="1" x14ac:dyDescent="0.2">
      <c r="A4" s="1"/>
      <c r="B4" s="1"/>
      <c r="C4" s="2"/>
      <c r="D4" s="1"/>
      <c r="E4" s="2"/>
      <c r="F4" s="1"/>
      <c r="G4" s="1"/>
      <c r="H4" s="1"/>
      <c r="I4" s="2"/>
      <c r="J4" s="1"/>
      <c r="K4" s="2"/>
      <c r="N4" s="18" t="s">
        <v>20</v>
      </c>
      <c r="O4" s="18">
        <f>Streamlined_Analysis_7[[#Totals],[Step Num]]</f>
        <v>8</v>
      </c>
      <c r="P4" s="18">
        <f>Streamlined_Analysis_7[[#Totals],[Effort Hours (hrs)]]</f>
        <v>296</v>
      </c>
    </row>
    <row r="5" spans="1:16" ht="12.75" x14ac:dyDescent="0.2">
      <c r="A5" s="1"/>
      <c r="B5" s="1"/>
      <c r="C5" s="2"/>
      <c r="D5" s="1"/>
      <c r="E5" s="2"/>
      <c r="F5" s="1"/>
      <c r="G5" s="1"/>
      <c r="H5" s="1"/>
      <c r="I5" s="2"/>
      <c r="J5" s="1"/>
      <c r="K5" s="2"/>
    </row>
    <row r="6" spans="1:16" ht="30" customHeight="1" x14ac:dyDescent="0.2">
      <c r="A6" s="15" t="s">
        <v>21</v>
      </c>
      <c r="B6" s="15" t="s">
        <v>22</v>
      </c>
      <c r="C6" s="16" t="s">
        <v>23</v>
      </c>
      <c r="D6" s="15" t="s">
        <v>24</v>
      </c>
      <c r="E6" s="16" t="s">
        <v>3</v>
      </c>
      <c r="F6" s="1"/>
      <c r="G6" s="15" t="s">
        <v>21</v>
      </c>
      <c r="H6" s="15" t="s">
        <v>22</v>
      </c>
      <c r="I6" s="16" t="s">
        <v>23</v>
      </c>
      <c r="J6" s="15" t="s">
        <v>24</v>
      </c>
      <c r="K6" s="16" t="s">
        <v>3</v>
      </c>
    </row>
    <row r="7" spans="1:16" ht="22.5" customHeight="1" x14ac:dyDescent="0.2">
      <c r="A7" s="4">
        <v>7.1</v>
      </c>
      <c r="B7" s="5" t="s">
        <v>2220</v>
      </c>
      <c r="C7" s="5" t="s">
        <v>2221</v>
      </c>
      <c r="D7" s="7" t="s">
        <v>27</v>
      </c>
      <c r="E7" s="6">
        <f t="shared" ref="E7:E79" si="0">IF(D7="LOW", 16, IF(D7="MEDIUM", 40, IF(D7="HIGH", 100, "")))</f>
        <v>16</v>
      </c>
      <c r="F7" s="1"/>
      <c r="G7" s="4">
        <v>9.1</v>
      </c>
      <c r="H7" s="5" t="s">
        <v>2222</v>
      </c>
      <c r="I7" s="5" t="s">
        <v>2223</v>
      </c>
      <c r="J7" s="7" t="s">
        <v>30</v>
      </c>
      <c r="K7" s="6">
        <f t="shared" ref="K7:K14" si="1">IF(J7="LOW", 16, IF(J7="MEDIUM", 40, IF(J7="HIGH", 100, "")))</f>
        <v>40</v>
      </c>
    </row>
    <row r="8" spans="1:16" ht="22.5" customHeight="1" x14ac:dyDescent="0.2">
      <c r="A8" s="4">
        <v>7.2</v>
      </c>
      <c r="B8" s="5" t="s">
        <v>2224</v>
      </c>
      <c r="C8" s="5" t="s">
        <v>2225</v>
      </c>
      <c r="D8" s="7" t="s">
        <v>27</v>
      </c>
      <c r="E8" s="6">
        <f t="shared" si="0"/>
        <v>16</v>
      </c>
      <c r="F8" s="1"/>
      <c r="G8" s="4">
        <v>10.199999999999999</v>
      </c>
      <c r="H8" s="5" t="s">
        <v>2226</v>
      </c>
      <c r="I8" s="5" t="s">
        <v>2227</v>
      </c>
      <c r="J8" s="7" t="s">
        <v>30</v>
      </c>
      <c r="K8" s="6">
        <f t="shared" si="1"/>
        <v>40</v>
      </c>
    </row>
    <row r="9" spans="1:16" ht="22.5" customHeight="1" x14ac:dyDescent="0.2">
      <c r="A9" s="4">
        <v>7.3</v>
      </c>
      <c r="B9" s="5" t="s">
        <v>2228</v>
      </c>
      <c r="C9" s="5" t="s">
        <v>2229</v>
      </c>
      <c r="D9" s="7" t="s">
        <v>27</v>
      </c>
      <c r="E9" s="6">
        <f t="shared" si="0"/>
        <v>16</v>
      </c>
      <c r="F9" s="1"/>
      <c r="G9" s="4">
        <v>11.1</v>
      </c>
      <c r="H9" s="5" t="s">
        <v>2230</v>
      </c>
      <c r="I9" s="5" t="s">
        <v>2231</v>
      </c>
      <c r="J9" s="7" t="s">
        <v>30</v>
      </c>
      <c r="K9" s="6">
        <f t="shared" si="1"/>
        <v>40</v>
      </c>
    </row>
    <row r="10" spans="1:16" ht="22.5" customHeight="1" x14ac:dyDescent="0.2">
      <c r="A10" s="4">
        <v>7.4</v>
      </c>
      <c r="B10" s="5" t="s">
        <v>2232</v>
      </c>
      <c r="C10" s="5" t="s">
        <v>2233</v>
      </c>
      <c r="D10" s="7" t="s">
        <v>27</v>
      </c>
      <c r="E10" s="6">
        <f t="shared" si="0"/>
        <v>16</v>
      </c>
      <c r="F10" s="1"/>
      <c r="G10" s="4">
        <v>11.13</v>
      </c>
      <c r="H10" s="5" t="s">
        <v>2365</v>
      </c>
      <c r="I10" s="5" t="s">
        <v>2366</v>
      </c>
      <c r="J10" s="7" t="s">
        <v>30</v>
      </c>
      <c r="K10" s="6">
        <f t="shared" si="1"/>
        <v>40</v>
      </c>
    </row>
    <row r="11" spans="1:16" ht="22.5" customHeight="1" x14ac:dyDescent="0.2">
      <c r="A11" s="4">
        <v>8.1</v>
      </c>
      <c r="B11" s="5" t="s">
        <v>2234</v>
      </c>
      <c r="C11" s="5" t="s">
        <v>2235</v>
      </c>
      <c r="D11" s="7" t="s">
        <v>27</v>
      </c>
      <c r="E11" s="6">
        <f t="shared" si="0"/>
        <v>16</v>
      </c>
      <c r="F11" s="1"/>
      <c r="G11" s="4">
        <v>12.2</v>
      </c>
      <c r="H11" s="5" t="s">
        <v>2236</v>
      </c>
      <c r="I11" s="5" t="s">
        <v>2237</v>
      </c>
      <c r="J11" s="7" t="s">
        <v>27</v>
      </c>
      <c r="K11" s="6">
        <f t="shared" si="1"/>
        <v>16</v>
      </c>
    </row>
    <row r="12" spans="1:16" ht="22.5" customHeight="1" x14ac:dyDescent="0.2">
      <c r="A12" s="4">
        <v>8.1999999999999993</v>
      </c>
      <c r="B12" s="5" t="s">
        <v>2238</v>
      </c>
      <c r="C12" s="5" t="s">
        <v>2239</v>
      </c>
      <c r="D12" s="7" t="s">
        <v>30</v>
      </c>
      <c r="E12" s="6">
        <f t="shared" si="0"/>
        <v>40</v>
      </c>
      <c r="F12" s="1"/>
      <c r="G12" s="4">
        <v>13.2</v>
      </c>
      <c r="H12" s="5" t="s">
        <v>2367</v>
      </c>
      <c r="I12" s="5" t="s">
        <v>2368</v>
      </c>
      <c r="J12" s="7" t="s">
        <v>30</v>
      </c>
      <c r="K12" s="6">
        <f t="shared" si="1"/>
        <v>40</v>
      </c>
    </row>
    <row r="13" spans="1:16" ht="22.5" customHeight="1" x14ac:dyDescent="0.2">
      <c r="A13" s="4">
        <v>8.3000000000000007</v>
      </c>
      <c r="B13" s="5" t="s">
        <v>2240</v>
      </c>
      <c r="C13" s="5" t="s">
        <v>2241</v>
      </c>
      <c r="D13" s="7" t="s">
        <v>27</v>
      </c>
      <c r="E13" s="6">
        <f t="shared" si="0"/>
        <v>16</v>
      </c>
      <c r="F13" s="1"/>
      <c r="G13" s="4">
        <v>16.8</v>
      </c>
      <c r="H13" s="5" t="s">
        <v>2369</v>
      </c>
      <c r="I13" s="5" t="s">
        <v>2370</v>
      </c>
      <c r="J13" s="7" t="s">
        <v>30</v>
      </c>
      <c r="K13" s="6">
        <f t="shared" si="1"/>
        <v>40</v>
      </c>
    </row>
    <row r="14" spans="1:16" ht="22.5" customHeight="1" x14ac:dyDescent="0.2">
      <c r="A14" s="4">
        <v>9.1</v>
      </c>
      <c r="B14" s="5" t="s">
        <v>2222</v>
      </c>
      <c r="C14" s="5" t="s">
        <v>2223</v>
      </c>
      <c r="D14" s="7" t="s">
        <v>27</v>
      </c>
      <c r="E14" s="6">
        <f t="shared" si="0"/>
        <v>16</v>
      </c>
      <c r="F14" s="1"/>
      <c r="G14" s="4" t="s">
        <v>54</v>
      </c>
      <c r="H14" s="5" t="s">
        <v>2242</v>
      </c>
      <c r="I14" s="5" t="s">
        <v>2243</v>
      </c>
      <c r="J14" s="7" t="s">
        <v>30</v>
      </c>
      <c r="K14" s="5">
        <f t="shared" si="1"/>
        <v>40</v>
      </c>
    </row>
    <row r="15" spans="1:16" ht="22.5" customHeight="1" x14ac:dyDescent="0.2">
      <c r="A15" s="4">
        <v>9.1999999999999993</v>
      </c>
      <c r="B15" s="5" t="s">
        <v>2244</v>
      </c>
      <c r="C15" s="5" t="s">
        <v>2245</v>
      </c>
      <c r="D15" s="7" t="s">
        <v>30</v>
      </c>
      <c r="E15" s="6">
        <f t="shared" si="0"/>
        <v>40</v>
      </c>
      <c r="F15" s="1"/>
      <c r="G15" s="8">
        <f>COUNTA(Streamlined_Analysis_7[Step Num])</f>
        <v>8</v>
      </c>
      <c r="H15" s="8"/>
      <c r="I15" s="5"/>
      <c r="J15" s="9"/>
      <c r="K15" s="5">
        <f>SUM(Streamlined_Analysis_7[Effort Hours (hrs)])</f>
        <v>296</v>
      </c>
    </row>
    <row r="16" spans="1:16" ht="22.5" customHeight="1" x14ac:dyDescent="0.2">
      <c r="A16" s="4">
        <v>9.3000000000000007</v>
      </c>
      <c r="B16" s="5" t="s">
        <v>2246</v>
      </c>
      <c r="C16" s="5" t="s">
        <v>2247</v>
      </c>
      <c r="D16" s="7" t="s">
        <v>30</v>
      </c>
      <c r="E16" s="6">
        <f t="shared" si="0"/>
        <v>40</v>
      </c>
      <c r="F16" s="1"/>
      <c r="G16" s="10"/>
      <c r="H16" s="10"/>
      <c r="I16" s="11"/>
      <c r="J16" s="12"/>
      <c r="K16" s="13"/>
    </row>
    <row r="17" spans="1:11" ht="22.5" customHeight="1" x14ac:dyDescent="0.2">
      <c r="A17" s="4">
        <v>9.4</v>
      </c>
      <c r="B17" s="5" t="s">
        <v>2248</v>
      </c>
      <c r="C17" s="5" t="s">
        <v>2249</v>
      </c>
      <c r="D17" s="7" t="s">
        <v>30</v>
      </c>
      <c r="E17" s="6">
        <f t="shared" si="0"/>
        <v>40</v>
      </c>
      <c r="F17" s="1"/>
      <c r="G17" s="10"/>
      <c r="H17" s="10"/>
      <c r="I17" s="11"/>
      <c r="J17" s="14"/>
      <c r="K17" s="13"/>
    </row>
    <row r="18" spans="1:11" ht="22.5" customHeight="1" x14ac:dyDescent="0.2">
      <c r="A18" s="4">
        <v>9.5</v>
      </c>
      <c r="B18" s="5" t="s">
        <v>2250</v>
      </c>
      <c r="C18" s="5" t="s">
        <v>2251</v>
      </c>
      <c r="D18" s="7" t="s">
        <v>35</v>
      </c>
      <c r="E18" s="6">
        <f t="shared" si="0"/>
        <v>100</v>
      </c>
      <c r="F18" s="1"/>
    </row>
    <row r="19" spans="1:11" ht="22.5" customHeight="1" x14ac:dyDescent="0.2">
      <c r="A19" s="4">
        <v>9.6</v>
      </c>
      <c r="B19" s="5" t="s">
        <v>2252</v>
      </c>
      <c r="C19" s="5" t="s">
        <v>2253</v>
      </c>
      <c r="D19" s="7" t="s">
        <v>30</v>
      </c>
      <c r="E19" s="6">
        <f t="shared" si="0"/>
        <v>40</v>
      </c>
    </row>
    <row r="20" spans="1:11" ht="22.5" customHeight="1" x14ac:dyDescent="0.2">
      <c r="A20" s="4">
        <v>10.1</v>
      </c>
      <c r="B20" s="5" t="s">
        <v>2254</v>
      </c>
      <c r="C20" s="5" t="s">
        <v>2255</v>
      </c>
      <c r="D20" s="7" t="s">
        <v>35</v>
      </c>
      <c r="E20" s="6">
        <f t="shared" si="0"/>
        <v>100</v>
      </c>
    </row>
    <row r="21" spans="1:11" ht="22.5" customHeight="1" x14ac:dyDescent="0.2">
      <c r="A21" s="4">
        <v>10.199999999999999</v>
      </c>
      <c r="B21" s="5" t="s">
        <v>2226</v>
      </c>
      <c r="C21" s="5" t="s">
        <v>2227</v>
      </c>
      <c r="D21" s="7" t="s">
        <v>30</v>
      </c>
      <c r="E21" s="6">
        <f t="shared" si="0"/>
        <v>40</v>
      </c>
    </row>
    <row r="22" spans="1:11" ht="22.5" customHeight="1" x14ac:dyDescent="0.2">
      <c r="A22" s="4">
        <v>10.3</v>
      </c>
      <c r="B22" s="5" t="s">
        <v>2256</v>
      </c>
      <c r="C22" s="5" t="s">
        <v>2257</v>
      </c>
      <c r="D22" s="7" t="s">
        <v>27</v>
      </c>
      <c r="E22" s="6">
        <f t="shared" si="0"/>
        <v>16</v>
      </c>
    </row>
    <row r="23" spans="1:11" ht="22.5" customHeight="1" x14ac:dyDescent="0.2">
      <c r="A23" s="4">
        <v>10.4</v>
      </c>
      <c r="B23" s="5" t="s">
        <v>2258</v>
      </c>
      <c r="C23" s="5" t="s">
        <v>2259</v>
      </c>
      <c r="D23" s="7" t="s">
        <v>35</v>
      </c>
      <c r="E23" s="6">
        <f t="shared" si="0"/>
        <v>100</v>
      </c>
    </row>
    <row r="24" spans="1:11" ht="22.5" customHeight="1" x14ac:dyDescent="0.2">
      <c r="A24" s="4">
        <v>10.5</v>
      </c>
      <c r="B24" s="5" t="s">
        <v>2260</v>
      </c>
      <c r="C24" s="5" t="s">
        <v>2261</v>
      </c>
      <c r="D24" s="7" t="s">
        <v>30</v>
      </c>
      <c r="E24" s="6">
        <f t="shared" si="0"/>
        <v>40</v>
      </c>
    </row>
    <row r="25" spans="1:11" ht="22.5" customHeight="1" x14ac:dyDescent="0.2">
      <c r="A25" s="4">
        <v>11.1</v>
      </c>
      <c r="B25" s="5" t="s">
        <v>2262</v>
      </c>
      <c r="C25" s="5" t="s">
        <v>2263</v>
      </c>
      <c r="D25" s="7" t="s">
        <v>30</v>
      </c>
      <c r="E25" s="6">
        <f t="shared" si="0"/>
        <v>40</v>
      </c>
    </row>
    <row r="26" spans="1:11" ht="22.5" customHeight="1" x14ac:dyDescent="0.2">
      <c r="A26" s="4">
        <v>11.2</v>
      </c>
      <c r="B26" s="5" t="s">
        <v>2264</v>
      </c>
      <c r="C26" s="5" t="s">
        <v>2265</v>
      </c>
      <c r="D26" s="7" t="s">
        <v>30</v>
      </c>
      <c r="E26" s="6">
        <f t="shared" si="0"/>
        <v>40</v>
      </c>
    </row>
    <row r="27" spans="1:11" ht="22.5" customHeight="1" x14ac:dyDescent="0.2">
      <c r="A27" s="4">
        <v>11.3</v>
      </c>
      <c r="B27" s="5" t="s">
        <v>2266</v>
      </c>
      <c r="C27" s="5" t="s">
        <v>2267</v>
      </c>
      <c r="D27" s="7" t="s">
        <v>30</v>
      </c>
      <c r="E27" s="6">
        <f t="shared" si="0"/>
        <v>40</v>
      </c>
    </row>
    <row r="28" spans="1:11" ht="22.5" customHeight="1" x14ac:dyDescent="0.2">
      <c r="A28" s="4">
        <v>11.4</v>
      </c>
      <c r="B28" s="5" t="s">
        <v>2268</v>
      </c>
      <c r="C28" s="5" t="s">
        <v>2269</v>
      </c>
      <c r="D28" s="7" t="s">
        <v>30</v>
      </c>
      <c r="E28" s="6">
        <f t="shared" si="0"/>
        <v>40</v>
      </c>
    </row>
    <row r="29" spans="1:11" ht="22.5" customHeight="1" x14ac:dyDescent="0.2">
      <c r="A29" s="4">
        <v>11.5</v>
      </c>
      <c r="B29" s="5" t="s">
        <v>2270</v>
      </c>
      <c r="C29" s="5" t="s">
        <v>2271</v>
      </c>
      <c r="D29" s="7" t="s">
        <v>27</v>
      </c>
      <c r="E29" s="6">
        <f t="shared" si="0"/>
        <v>16</v>
      </c>
    </row>
    <row r="30" spans="1:11" ht="22.5" customHeight="1" x14ac:dyDescent="0.2">
      <c r="A30" s="4">
        <v>11.6</v>
      </c>
      <c r="B30" s="5" t="s">
        <v>2272</v>
      </c>
      <c r="C30" s="5" t="s">
        <v>2273</v>
      </c>
      <c r="D30" s="7" t="s">
        <v>30</v>
      </c>
      <c r="E30" s="6">
        <f t="shared" si="0"/>
        <v>40</v>
      </c>
    </row>
    <row r="31" spans="1:11" ht="22.5" customHeight="1" x14ac:dyDescent="0.2">
      <c r="A31" s="4">
        <v>11.7</v>
      </c>
      <c r="B31" s="5" t="s">
        <v>2274</v>
      </c>
      <c r="C31" s="5" t="s">
        <v>2275</v>
      </c>
      <c r="D31" s="7" t="s">
        <v>30</v>
      </c>
      <c r="E31" s="6">
        <f t="shared" si="0"/>
        <v>40</v>
      </c>
    </row>
    <row r="32" spans="1:11" ht="22.5" customHeight="1" x14ac:dyDescent="0.2">
      <c r="A32" s="4">
        <v>11.8</v>
      </c>
      <c r="B32" s="5" t="s">
        <v>2276</v>
      </c>
      <c r="C32" s="5" t="s">
        <v>2277</v>
      </c>
      <c r="D32" s="7" t="s">
        <v>27</v>
      </c>
      <c r="E32" s="6">
        <f t="shared" si="0"/>
        <v>16</v>
      </c>
    </row>
    <row r="33" spans="1:5" ht="22.5" customHeight="1" x14ac:dyDescent="0.2">
      <c r="A33" s="4">
        <v>11.9</v>
      </c>
      <c r="B33" s="5" t="s">
        <v>2278</v>
      </c>
      <c r="C33" s="5" t="s">
        <v>2279</v>
      </c>
      <c r="D33" s="7" t="s">
        <v>27</v>
      </c>
      <c r="E33" s="6">
        <f t="shared" si="0"/>
        <v>16</v>
      </c>
    </row>
    <row r="34" spans="1:5" ht="22.5" customHeight="1" x14ac:dyDescent="0.2">
      <c r="A34" s="4">
        <v>11.1</v>
      </c>
      <c r="B34" s="5" t="s">
        <v>2230</v>
      </c>
      <c r="C34" s="5" t="s">
        <v>2231</v>
      </c>
      <c r="D34" s="7" t="s">
        <v>30</v>
      </c>
      <c r="E34" s="6">
        <f t="shared" si="0"/>
        <v>40</v>
      </c>
    </row>
    <row r="35" spans="1:5" ht="22.5" customHeight="1" x14ac:dyDescent="0.2">
      <c r="A35" s="4">
        <v>11.11</v>
      </c>
      <c r="B35" s="5" t="s">
        <v>2280</v>
      </c>
      <c r="C35" s="5" t="s">
        <v>2281</v>
      </c>
      <c r="D35" s="7" t="s">
        <v>27</v>
      </c>
      <c r="E35" s="6">
        <f t="shared" si="0"/>
        <v>16</v>
      </c>
    </row>
    <row r="36" spans="1:5" ht="22.5" customHeight="1" x14ac:dyDescent="0.2">
      <c r="A36" s="4">
        <v>12.1</v>
      </c>
      <c r="B36" s="5" t="s">
        <v>2236</v>
      </c>
      <c r="C36" s="5" t="s">
        <v>2237</v>
      </c>
      <c r="D36" s="7" t="s">
        <v>27</v>
      </c>
      <c r="E36" s="6">
        <f t="shared" si="0"/>
        <v>16</v>
      </c>
    </row>
    <row r="37" spans="1:5" ht="22.5" customHeight="1" x14ac:dyDescent="0.2">
      <c r="A37" s="4">
        <v>12.2</v>
      </c>
      <c r="B37" s="5" t="s">
        <v>2282</v>
      </c>
      <c r="C37" s="5" t="s">
        <v>2283</v>
      </c>
      <c r="D37" s="7" t="s">
        <v>30</v>
      </c>
      <c r="E37" s="6">
        <f t="shared" si="0"/>
        <v>40</v>
      </c>
    </row>
    <row r="38" spans="1:5" ht="22.5" customHeight="1" x14ac:dyDescent="0.2">
      <c r="A38" s="4">
        <v>13.1</v>
      </c>
      <c r="B38" s="5" t="s">
        <v>2284</v>
      </c>
      <c r="C38" s="5" t="s">
        <v>2285</v>
      </c>
      <c r="D38" s="7" t="s">
        <v>27</v>
      </c>
      <c r="E38" s="6">
        <f t="shared" si="0"/>
        <v>16</v>
      </c>
    </row>
    <row r="39" spans="1:5" ht="22.5" customHeight="1" x14ac:dyDescent="0.2">
      <c r="A39" s="4">
        <v>13.2</v>
      </c>
      <c r="B39" s="5" t="s">
        <v>2286</v>
      </c>
      <c r="C39" s="5" t="s">
        <v>2287</v>
      </c>
      <c r="D39" s="7" t="s">
        <v>30</v>
      </c>
      <c r="E39" s="6">
        <f t="shared" si="0"/>
        <v>40</v>
      </c>
    </row>
    <row r="40" spans="1:5" ht="22.5" customHeight="1" x14ac:dyDescent="0.2">
      <c r="A40" s="4">
        <v>13.3</v>
      </c>
      <c r="B40" s="5" t="s">
        <v>2288</v>
      </c>
      <c r="C40" s="5" t="s">
        <v>2289</v>
      </c>
      <c r="D40" s="7" t="s">
        <v>27</v>
      </c>
      <c r="E40" s="6">
        <f t="shared" si="0"/>
        <v>16</v>
      </c>
    </row>
    <row r="41" spans="1:5" ht="22.5" customHeight="1" x14ac:dyDescent="0.2">
      <c r="A41" s="4">
        <v>13.4</v>
      </c>
      <c r="B41" s="5" t="s">
        <v>2290</v>
      </c>
      <c r="C41" s="5" t="s">
        <v>2291</v>
      </c>
      <c r="D41" s="7" t="s">
        <v>30</v>
      </c>
      <c r="E41" s="6">
        <f t="shared" si="0"/>
        <v>40</v>
      </c>
    </row>
    <row r="42" spans="1:5" ht="22.5" customHeight="1" x14ac:dyDescent="0.2">
      <c r="A42" s="4">
        <v>13.5</v>
      </c>
      <c r="B42" s="5" t="s">
        <v>2292</v>
      </c>
      <c r="C42" s="5" t="s">
        <v>2293</v>
      </c>
      <c r="D42" s="7" t="s">
        <v>30</v>
      </c>
      <c r="E42" s="6">
        <f t="shared" si="0"/>
        <v>40</v>
      </c>
    </row>
    <row r="43" spans="1:5" ht="22.5" customHeight="1" x14ac:dyDescent="0.2">
      <c r="A43" s="4">
        <v>13.6</v>
      </c>
      <c r="B43" s="5" t="s">
        <v>2294</v>
      </c>
      <c r="C43" s="5" t="s">
        <v>2295</v>
      </c>
      <c r="D43" s="7" t="s">
        <v>30</v>
      </c>
      <c r="E43" s="6">
        <f t="shared" si="0"/>
        <v>40</v>
      </c>
    </row>
    <row r="44" spans="1:5" ht="22.5" customHeight="1" x14ac:dyDescent="0.2">
      <c r="A44" s="4">
        <v>13.7</v>
      </c>
      <c r="B44" s="5" t="s">
        <v>2296</v>
      </c>
      <c r="C44" s="5" t="s">
        <v>2297</v>
      </c>
      <c r="D44" s="7" t="s">
        <v>30</v>
      </c>
      <c r="E44" s="6">
        <f t="shared" si="0"/>
        <v>40</v>
      </c>
    </row>
    <row r="45" spans="1:5" ht="22.5" customHeight="1" x14ac:dyDescent="0.2">
      <c r="A45" s="4">
        <v>13.8</v>
      </c>
      <c r="B45" s="5" t="s">
        <v>2298</v>
      </c>
      <c r="C45" s="5" t="s">
        <v>2299</v>
      </c>
      <c r="D45" s="7" t="s">
        <v>30</v>
      </c>
      <c r="E45" s="6">
        <f t="shared" si="0"/>
        <v>40</v>
      </c>
    </row>
    <row r="46" spans="1:5" ht="22.5" customHeight="1" x14ac:dyDescent="0.2">
      <c r="A46" s="4">
        <v>13.9</v>
      </c>
      <c r="B46" s="5" t="s">
        <v>2300</v>
      </c>
      <c r="C46" s="5" t="s">
        <v>2301</v>
      </c>
      <c r="D46" s="7" t="s">
        <v>30</v>
      </c>
      <c r="E46" s="6">
        <f t="shared" si="0"/>
        <v>40</v>
      </c>
    </row>
    <row r="47" spans="1:5" ht="22.5" customHeight="1" x14ac:dyDescent="0.2">
      <c r="A47" s="4">
        <v>13.1</v>
      </c>
      <c r="B47" s="5" t="s">
        <v>2302</v>
      </c>
      <c r="C47" s="5" t="s">
        <v>2303</v>
      </c>
      <c r="D47" s="7" t="s">
        <v>35</v>
      </c>
      <c r="E47" s="6">
        <f t="shared" si="0"/>
        <v>100</v>
      </c>
    </row>
    <row r="48" spans="1:5" ht="22.5" customHeight="1" x14ac:dyDescent="0.2">
      <c r="A48" s="4">
        <v>13.11</v>
      </c>
      <c r="B48" s="5" t="s">
        <v>2304</v>
      </c>
      <c r="C48" s="5" t="s">
        <v>2305</v>
      </c>
      <c r="D48" s="7" t="s">
        <v>30</v>
      </c>
      <c r="E48" s="6">
        <f t="shared" si="0"/>
        <v>40</v>
      </c>
    </row>
    <row r="49" spans="1:5" ht="22.5" customHeight="1" x14ac:dyDescent="0.2">
      <c r="A49" s="4">
        <v>13.12</v>
      </c>
      <c r="B49" s="5" t="s">
        <v>2306</v>
      </c>
      <c r="C49" s="5" t="s">
        <v>2307</v>
      </c>
      <c r="D49" s="7" t="s">
        <v>30</v>
      </c>
      <c r="E49" s="6">
        <f t="shared" si="0"/>
        <v>40</v>
      </c>
    </row>
    <row r="50" spans="1:5" ht="22.5" customHeight="1" x14ac:dyDescent="0.2">
      <c r="A50" s="4">
        <v>13.13</v>
      </c>
      <c r="B50" s="5" t="s">
        <v>2308</v>
      </c>
      <c r="C50" s="5" t="s">
        <v>2309</v>
      </c>
      <c r="D50" s="7" t="s">
        <v>30</v>
      </c>
      <c r="E50" s="6">
        <f t="shared" si="0"/>
        <v>40</v>
      </c>
    </row>
    <row r="51" spans="1:5" ht="22.5" customHeight="1" x14ac:dyDescent="0.2">
      <c r="A51" s="4">
        <v>14.1</v>
      </c>
      <c r="B51" s="5" t="s">
        <v>2310</v>
      </c>
      <c r="C51" s="5" t="s">
        <v>2311</v>
      </c>
      <c r="D51" s="7" t="s">
        <v>30</v>
      </c>
      <c r="E51" s="6">
        <f t="shared" si="0"/>
        <v>40</v>
      </c>
    </row>
    <row r="52" spans="1:5" ht="22.5" customHeight="1" x14ac:dyDescent="0.2">
      <c r="A52" s="4">
        <v>14.2</v>
      </c>
      <c r="B52" s="5" t="s">
        <v>2312</v>
      </c>
      <c r="C52" s="5" t="s">
        <v>2313</v>
      </c>
      <c r="D52" s="7" t="s">
        <v>27</v>
      </c>
      <c r="E52" s="6">
        <f t="shared" si="0"/>
        <v>16</v>
      </c>
    </row>
    <row r="53" spans="1:5" ht="22.5" customHeight="1" x14ac:dyDescent="0.2">
      <c r="A53" s="4">
        <v>14.3</v>
      </c>
      <c r="B53" s="5" t="s">
        <v>2314</v>
      </c>
      <c r="C53" s="5" t="s">
        <v>2315</v>
      </c>
      <c r="D53" s="7" t="s">
        <v>30</v>
      </c>
      <c r="E53" s="6">
        <f t="shared" si="0"/>
        <v>40</v>
      </c>
    </row>
    <row r="54" spans="1:5" ht="22.5" customHeight="1" x14ac:dyDescent="0.2">
      <c r="A54" s="4">
        <v>14.4</v>
      </c>
      <c r="B54" s="5" t="s">
        <v>2316</v>
      </c>
      <c r="C54" s="5" t="s">
        <v>2317</v>
      </c>
      <c r="D54" s="7" t="s">
        <v>30</v>
      </c>
      <c r="E54" s="6">
        <f t="shared" si="0"/>
        <v>40</v>
      </c>
    </row>
    <row r="55" spans="1:5" ht="22.5" customHeight="1" x14ac:dyDescent="0.2">
      <c r="A55" s="4">
        <v>14.5</v>
      </c>
      <c r="B55" s="5" t="s">
        <v>2318</v>
      </c>
      <c r="C55" s="5" t="s">
        <v>2319</v>
      </c>
      <c r="D55" s="7" t="s">
        <v>30</v>
      </c>
      <c r="E55" s="6">
        <f t="shared" si="0"/>
        <v>40</v>
      </c>
    </row>
    <row r="56" spans="1:5" ht="22.5" customHeight="1" x14ac:dyDescent="0.2">
      <c r="A56" s="4">
        <v>14.6</v>
      </c>
      <c r="B56" s="5" t="s">
        <v>2320</v>
      </c>
      <c r="C56" s="5" t="s">
        <v>2321</v>
      </c>
      <c r="D56" s="7" t="s">
        <v>35</v>
      </c>
      <c r="E56" s="6">
        <f t="shared" si="0"/>
        <v>100</v>
      </c>
    </row>
    <row r="57" spans="1:5" ht="22.5" customHeight="1" x14ac:dyDescent="0.2">
      <c r="A57" s="4">
        <v>15.1</v>
      </c>
      <c r="B57" s="5" t="s">
        <v>2322</v>
      </c>
      <c r="C57" s="5" t="s">
        <v>2323</v>
      </c>
      <c r="D57" s="7" t="s">
        <v>30</v>
      </c>
      <c r="E57" s="6">
        <f t="shared" si="0"/>
        <v>40</v>
      </c>
    </row>
    <row r="58" spans="1:5" ht="22.5" customHeight="1" x14ac:dyDescent="0.2">
      <c r="A58" s="4">
        <v>15.2</v>
      </c>
      <c r="B58" s="5" t="s">
        <v>2324</v>
      </c>
      <c r="C58" s="5" t="s">
        <v>2325</v>
      </c>
      <c r="D58" s="7" t="s">
        <v>30</v>
      </c>
      <c r="E58" s="6">
        <f t="shared" si="0"/>
        <v>40</v>
      </c>
    </row>
    <row r="59" spans="1:5" ht="22.5" customHeight="1" x14ac:dyDescent="0.2">
      <c r="A59" s="4">
        <v>15.3</v>
      </c>
      <c r="B59" s="5" t="s">
        <v>2326</v>
      </c>
      <c r="C59" s="5" t="s">
        <v>2327</v>
      </c>
      <c r="D59" s="7" t="s">
        <v>35</v>
      </c>
      <c r="E59" s="6">
        <f t="shared" si="0"/>
        <v>100</v>
      </c>
    </row>
    <row r="60" spans="1:5" ht="22.5" customHeight="1" x14ac:dyDescent="0.2">
      <c r="A60" s="4">
        <v>15.4</v>
      </c>
      <c r="B60" s="5" t="s">
        <v>2328</v>
      </c>
      <c r="C60" s="5" t="s">
        <v>2329</v>
      </c>
      <c r="D60" s="7" t="s">
        <v>30</v>
      </c>
      <c r="E60" s="6">
        <f t="shared" si="0"/>
        <v>40</v>
      </c>
    </row>
    <row r="61" spans="1:5" ht="22.5" customHeight="1" x14ac:dyDescent="0.2">
      <c r="A61" s="4">
        <v>15.5</v>
      </c>
      <c r="B61" s="5" t="s">
        <v>2330</v>
      </c>
      <c r="C61" s="5" t="s">
        <v>2331</v>
      </c>
      <c r="D61" s="7" t="s">
        <v>30</v>
      </c>
      <c r="E61" s="6">
        <f t="shared" si="0"/>
        <v>40</v>
      </c>
    </row>
    <row r="62" spans="1:5" ht="22.5" customHeight="1" x14ac:dyDescent="0.2">
      <c r="A62" s="4">
        <v>15.6</v>
      </c>
      <c r="B62" s="5" t="s">
        <v>2332</v>
      </c>
      <c r="C62" s="5" t="s">
        <v>2333</v>
      </c>
      <c r="D62" s="7" t="s">
        <v>35</v>
      </c>
      <c r="E62" s="6">
        <f t="shared" si="0"/>
        <v>100</v>
      </c>
    </row>
    <row r="63" spans="1:5" ht="22.5" customHeight="1" x14ac:dyDescent="0.2">
      <c r="A63" s="4">
        <v>15.7</v>
      </c>
      <c r="B63" s="5" t="s">
        <v>2334</v>
      </c>
      <c r="C63" s="5" t="s">
        <v>2335</v>
      </c>
      <c r="D63" s="7" t="s">
        <v>30</v>
      </c>
      <c r="E63" s="6">
        <f t="shared" si="0"/>
        <v>40</v>
      </c>
    </row>
    <row r="64" spans="1:5" ht="22.5" customHeight="1" x14ac:dyDescent="0.2">
      <c r="A64" s="4">
        <v>16.100000000000001</v>
      </c>
      <c r="B64" s="5" t="s">
        <v>2336</v>
      </c>
      <c r="C64" s="5" t="s">
        <v>2337</v>
      </c>
      <c r="D64" s="7" t="s">
        <v>30</v>
      </c>
      <c r="E64" s="6">
        <f t="shared" si="0"/>
        <v>40</v>
      </c>
    </row>
    <row r="65" spans="1:5" ht="22.5" customHeight="1" x14ac:dyDescent="0.2">
      <c r="A65" s="4">
        <v>16.2</v>
      </c>
      <c r="B65" s="5" t="s">
        <v>2338</v>
      </c>
      <c r="C65" s="5" t="s">
        <v>2339</v>
      </c>
      <c r="D65" s="7" t="s">
        <v>27</v>
      </c>
      <c r="E65" s="6">
        <f t="shared" si="0"/>
        <v>16</v>
      </c>
    </row>
    <row r="66" spans="1:5" ht="22.5" customHeight="1" x14ac:dyDescent="0.2">
      <c r="A66" s="4">
        <v>16.3</v>
      </c>
      <c r="B66" s="5" t="s">
        <v>2340</v>
      </c>
      <c r="C66" s="5" t="s">
        <v>2341</v>
      </c>
      <c r="D66" s="7" t="s">
        <v>30</v>
      </c>
      <c r="E66" s="6">
        <f t="shared" si="0"/>
        <v>40</v>
      </c>
    </row>
    <row r="67" spans="1:5" ht="22.5" customHeight="1" x14ac:dyDescent="0.2">
      <c r="A67" s="4">
        <v>16.399999999999999</v>
      </c>
      <c r="B67" s="5" t="s">
        <v>2342</v>
      </c>
      <c r="C67" s="5" t="s">
        <v>2343</v>
      </c>
      <c r="D67" s="7" t="s">
        <v>30</v>
      </c>
      <c r="E67" s="6">
        <f t="shared" si="0"/>
        <v>40</v>
      </c>
    </row>
    <row r="68" spans="1:5" ht="22.5" customHeight="1" x14ac:dyDescent="0.2">
      <c r="A68" s="4">
        <v>16.5</v>
      </c>
      <c r="B68" s="5" t="s">
        <v>2344</v>
      </c>
      <c r="C68" s="5" t="s">
        <v>2345</v>
      </c>
      <c r="D68" s="7" t="s">
        <v>30</v>
      </c>
      <c r="E68" s="6">
        <f t="shared" si="0"/>
        <v>40</v>
      </c>
    </row>
    <row r="69" spans="1:5" ht="22.5" customHeight="1" x14ac:dyDescent="0.2">
      <c r="A69" s="4">
        <v>16.600000000000001</v>
      </c>
      <c r="B69" s="5" t="s">
        <v>2346</v>
      </c>
      <c r="C69" s="5" t="s">
        <v>2347</v>
      </c>
      <c r="D69" s="7" t="s">
        <v>30</v>
      </c>
      <c r="E69" s="6">
        <f t="shared" si="0"/>
        <v>40</v>
      </c>
    </row>
    <row r="70" spans="1:5" ht="22.5" customHeight="1" x14ac:dyDescent="0.2">
      <c r="A70" s="4">
        <v>16.7</v>
      </c>
      <c r="B70" s="5" t="s">
        <v>2348</v>
      </c>
      <c r="C70" s="5" t="s">
        <v>2349</v>
      </c>
      <c r="D70" s="7" t="s">
        <v>35</v>
      </c>
      <c r="E70" s="6">
        <f t="shared" si="0"/>
        <v>100</v>
      </c>
    </row>
    <row r="71" spans="1:5" ht="22.5" customHeight="1" x14ac:dyDescent="0.2">
      <c r="A71" s="4">
        <v>17.100000000000001</v>
      </c>
      <c r="B71" s="5" t="s">
        <v>2350</v>
      </c>
      <c r="C71" s="5" t="s">
        <v>2351</v>
      </c>
      <c r="D71" s="7" t="s">
        <v>27</v>
      </c>
      <c r="E71" s="6">
        <f t="shared" si="0"/>
        <v>16</v>
      </c>
    </row>
    <row r="72" spans="1:5" ht="22.5" customHeight="1" x14ac:dyDescent="0.2">
      <c r="A72" s="4">
        <v>17.2</v>
      </c>
      <c r="B72" s="5" t="s">
        <v>2352</v>
      </c>
      <c r="C72" s="5" t="s">
        <v>2353</v>
      </c>
      <c r="D72" s="7" t="s">
        <v>27</v>
      </c>
      <c r="E72" s="6">
        <f t="shared" si="0"/>
        <v>16</v>
      </c>
    </row>
    <row r="73" spans="1:5" ht="22.5" customHeight="1" x14ac:dyDescent="0.2">
      <c r="A73" s="4">
        <v>17.3</v>
      </c>
      <c r="B73" s="5" t="s">
        <v>2354</v>
      </c>
      <c r="C73" s="5" t="s">
        <v>2355</v>
      </c>
      <c r="D73" s="7" t="s">
        <v>27</v>
      </c>
      <c r="E73" s="6">
        <f t="shared" si="0"/>
        <v>16</v>
      </c>
    </row>
    <row r="74" spans="1:5" ht="22.5" customHeight="1" x14ac:dyDescent="0.2">
      <c r="A74" s="4" t="s">
        <v>54</v>
      </c>
      <c r="B74" s="5" t="s">
        <v>2242</v>
      </c>
      <c r="C74" s="5" t="s">
        <v>2243</v>
      </c>
      <c r="D74" s="7" t="s">
        <v>30</v>
      </c>
      <c r="E74" s="6">
        <f t="shared" si="0"/>
        <v>40</v>
      </c>
    </row>
    <row r="75" spans="1:5" ht="22.5" customHeight="1" x14ac:dyDescent="0.2">
      <c r="A75" s="4" t="s">
        <v>339</v>
      </c>
      <c r="B75" s="5" t="s">
        <v>2356</v>
      </c>
      <c r="C75" s="5" t="s">
        <v>2357</v>
      </c>
      <c r="D75" s="7" t="s">
        <v>30</v>
      </c>
      <c r="E75" s="6">
        <f t="shared" si="0"/>
        <v>40</v>
      </c>
    </row>
    <row r="76" spans="1:5" ht="22.5" customHeight="1" x14ac:dyDescent="0.2">
      <c r="A76" s="4" t="s">
        <v>342</v>
      </c>
      <c r="B76" s="5" t="s">
        <v>343</v>
      </c>
      <c r="C76" s="5" t="s">
        <v>2358</v>
      </c>
      <c r="D76" s="7" t="s">
        <v>27</v>
      </c>
      <c r="E76" s="6">
        <f t="shared" si="0"/>
        <v>16</v>
      </c>
    </row>
    <row r="77" spans="1:5" ht="22.5" customHeight="1" x14ac:dyDescent="0.2">
      <c r="A77" s="4" t="s">
        <v>59</v>
      </c>
      <c r="B77" s="5" t="s">
        <v>2359</v>
      </c>
      <c r="C77" s="5" t="s">
        <v>2360</v>
      </c>
      <c r="D77" s="7" t="s">
        <v>30</v>
      </c>
      <c r="E77" s="6">
        <f t="shared" si="0"/>
        <v>40</v>
      </c>
    </row>
    <row r="78" spans="1:5" ht="22.5" customHeight="1" x14ac:dyDescent="0.2">
      <c r="A78" s="4" t="s">
        <v>64</v>
      </c>
      <c r="B78" s="5" t="s">
        <v>2361</v>
      </c>
      <c r="C78" s="5" t="s">
        <v>2362</v>
      </c>
      <c r="D78" s="7" t="s">
        <v>35</v>
      </c>
      <c r="E78" s="6">
        <f t="shared" si="0"/>
        <v>100</v>
      </c>
    </row>
    <row r="79" spans="1:5" ht="22.5" customHeight="1" x14ac:dyDescent="0.2">
      <c r="A79" s="4" t="s">
        <v>69</v>
      </c>
      <c r="B79" s="5" t="s">
        <v>2363</v>
      </c>
      <c r="C79" s="5" t="s">
        <v>2364</v>
      </c>
      <c r="D79" s="7" t="s">
        <v>27</v>
      </c>
      <c r="E79" s="6">
        <f t="shared" si="0"/>
        <v>16</v>
      </c>
    </row>
    <row r="80" spans="1:5" ht="22.5" customHeight="1" x14ac:dyDescent="0.2">
      <c r="A80" s="18">
        <f>COUNTA(Detailed_Analysis_7[Step Num])</f>
        <v>73</v>
      </c>
      <c r="B80" s="18"/>
      <c r="C80" s="18"/>
      <c r="D80" s="18"/>
      <c r="E80" s="18">
        <f>SUM(Detailed_Analysis_7[Effort Hours (hrs)])</f>
        <v>2932</v>
      </c>
    </row>
    <row r="81" spans="1:5" ht="12.75" x14ac:dyDescent="0.2">
      <c r="A81" s="1"/>
      <c r="D81" s="1"/>
      <c r="E81" s="1"/>
    </row>
    <row r="82" spans="1:5" ht="12.75" x14ac:dyDescent="0.2">
      <c r="A82" s="1"/>
      <c r="D82" s="1"/>
      <c r="E82" s="1"/>
    </row>
    <row r="83" spans="1:5" ht="12.75" x14ac:dyDescent="0.2">
      <c r="A83" s="1"/>
      <c r="D83" s="1"/>
      <c r="E83" s="1"/>
    </row>
    <row r="84" spans="1:5" ht="12.75" x14ac:dyDescent="0.2">
      <c r="A84" s="1"/>
      <c r="D84" s="1"/>
      <c r="E84" s="1"/>
    </row>
    <row r="85" spans="1:5" ht="12.75" x14ac:dyDescent="0.2">
      <c r="A85" s="1"/>
      <c r="D85" s="1"/>
      <c r="E85" s="1"/>
    </row>
    <row r="86" spans="1:5" ht="12.75" x14ac:dyDescent="0.2">
      <c r="A86" s="1"/>
      <c r="D86" s="1"/>
      <c r="E86" s="1"/>
    </row>
    <row r="87" spans="1:5" ht="12.75" x14ac:dyDescent="0.2">
      <c r="A87" s="1"/>
      <c r="D87" s="1"/>
      <c r="E87" s="1"/>
    </row>
    <row r="88" spans="1:5" ht="12.75" x14ac:dyDescent="0.2">
      <c r="A88" s="1"/>
      <c r="D88" s="1"/>
      <c r="E88" s="1"/>
    </row>
    <row r="89" spans="1:5" ht="12.75" x14ac:dyDescent="0.2">
      <c r="A89" s="1"/>
      <c r="D89" s="1"/>
      <c r="E89" s="1"/>
    </row>
    <row r="90" spans="1:5" ht="12.75" x14ac:dyDescent="0.2">
      <c r="A90" s="1"/>
      <c r="D90" s="1"/>
      <c r="E90" s="1"/>
    </row>
    <row r="91" spans="1:5" ht="12.75" x14ac:dyDescent="0.2">
      <c r="A91" s="1"/>
      <c r="D91" s="1"/>
      <c r="E91" s="1"/>
    </row>
    <row r="92" spans="1:5" ht="12.75" x14ac:dyDescent="0.2">
      <c r="A92" s="1"/>
      <c r="D92" s="1"/>
      <c r="E92" s="1"/>
    </row>
    <row r="93" spans="1:5" ht="12.75" x14ac:dyDescent="0.2">
      <c r="A93" s="1"/>
      <c r="D93" s="1"/>
      <c r="E93" s="1"/>
    </row>
    <row r="94" spans="1:5" ht="12.75" x14ac:dyDescent="0.2">
      <c r="A94" s="1"/>
      <c r="D94" s="1"/>
      <c r="E94" s="1"/>
    </row>
    <row r="95" spans="1:5" ht="12.75" x14ac:dyDescent="0.2">
      <c r="A95" s="1"/>
      <c r="D95" s="1"/>
      <c r="E95" s="1"/>
    </row>
    <row r="96" spans="1:5" ht="12.75" x14ac:dyDescent="0.2">
      <c r="A96" s="1"/>
      <c r="D96" s="1"/>
      <c r="E96" s="1"/>
    </row>
    <row r="97" spans="1:5" ht="12.75" x14ac:dyDescent="0.2">
      <c r="A97" s="1"/>
      <c r="D97" s="1"/>
      <c r="E97" s="1"/>
    </row>
    <row r="98" spans="1:5" ht="12.75" x14ac:dyDescent="0.2">
      <c r="A98" s="1"/>
      <c r="D98" s="1"/>
      <c r="E98" s="1"/>
    </row>
    <row r="99" spans="1:5" ht="12.75" x14ac:dyDescent="0.2">
      <c r="A99" s="1"/>
      <c r="D99" s="1"/>
      <c r="E99" s="1"/>
    </row>
    <row r="100" spans="1:5" ht="12.75" x14ac:dyDescent="0.2">
      <c r="A100" s="1"/>
      <c r="D100" s="1"/>
      <c r="E100" s="1"/>
    </row>
    <row r="101" spans="1:5" ht="12.75" x14ac:dyDescent="0.2">
      <c r="A101" s="1"/>
      <c r="D101" s="1"/>
      <c r="E101" s="1"/>
    </row>
    <row r="102" spans="1:5" ht="12.75" x14ac:dyDescent="0.2">
      <c r="A102" s="1"/>
      <c r="D102" s="1"/>
      <c r="E102" s="1"/>
    </row>
    <row r="103" spans="1:5" ht="12.75" x14ac:dyDescent="0.2">
      <c r="A103" s="1"/>
      <c r="D103" s="1"/>
      <c r="E103" s="1"/>
    </row>
    <row r="104" spans="1:5" ht="12.75" x14ac:dyDescent="0.2">
      <c r="A104" s="1"/>
      <c r="D104" s="1"/>
      <c r="E104" s="1"/>
    </row>
    <row r="105" spans="1:5" ht="12.75" x14ac:dyDescent="0.2">
      <c r="A105" s="1"/>
      <c r="D105" s="1"/>
      <c r="E105" s="1"/>
    </row>
    <row r="106" spans="1:5" ht="12.75" x14ac:dyDescent="0.2">
      <c r="A106" s="1"/>
      <c r="D106" s="1"/>
      <c r="E106" s="1"/>
    </row>
    <row r="107" spans="1:5" ht="12.75" x14ac:dyDescent="0.2">
      <c r="A107" s="1"/>
      <c r="D107" s="1"/>
      <c r="E107" s="1"/>
    </row>
    <row r="108" spans="1:5" ht="12.75" x14ac:dyDescent="0.2">
      <c r="A108" s="1"/>
      <c r="D108" s="1"/>
      <c r="E108" s="1"/>
    </row>
    <row r="109" spans="1:5" ht="12.75" x14ac:dyDescent="0.2">
      <c r="A109" s="1"/>
      <c r="D109" s="1"/>
      <c r="E109" s="1"/>
    </row>
    <row r="110" spans="1:5" ht="12.75" x14ac:dyDescent="0.2">
      <c r="A110" s="1"/>
      <c r="D110" s="1"/>
      <c r="E110" s="1"/>
    </row>
    <row r="111" spans="1:5" ht="12.75" x14ac:dyDescent="0.2">
      <c r="A111" s="1"/>
      <c r="D111" s="1"/>
      <c r="E111" s="1"/>
    </row>
    <row r="112" spans="1:5" ht="12.75" x14ac:dyDescent="0.2">
      <c r="A112" s="1"/>
      <c r="D112" s="1"/>
      <c r="E112" s="1"/>
    </row>
    <row r="113" spans="1:5" ht="12.75" x14ac:dyDescent="0.2">
      <c r="A113" s="1"/>
      <c r="D113" s="1"/>
      <c r="E113" s="1"/>
    </row>
    <row r="114" spans="1:5" ht="12.75" x14ac:dyDescent="0.2">
      <c r="A114" s="1"/>
      <c r="D114" s="1"/>
      <c r="E114" s="1"/>
    </row>
    <row r="115" spans="1:5" ht="12.75" x14ac:dyDescent="0.2">
      <c r="A115" s="1"/>
      <c r="D115" s="1"/>
      <c r="E115" s="1"/>
    </row>
    <row r="116" spans="1:5" ht="12.75" x14ac:dyDescent="0.2">
      <c r="A116" s="1"/>
      <c r="D116" s="1"/>
      <c r="E116" s="1"/>
    </row>
    <row r="117" spans="1:5" ht="12.75" x14ac:dyDescent="0.2">
      <c r="A117" s="1"/>
      <c r="D117" s="1"/>
      <c r="E117" s="1"/>
    </row>
    <row r="118" spans="1:5" ht="12.75" x14ac:dyDescent="0.2">
      <c r="A118" s="1"/>
      <c r="D118" s="1"/>
      <c r="E118" s="1"/>
    </row>
    <row r="119" spans="1:5" ht="12.75" x14ac:dyDescent="0.2">
      <c r="A119" s="1"/>
      <c r="D119" s="1"/>
      <c r="E119" s="1"/>
    </row>
    <row r="120" spans="1:5" ht="12.75" x14ac:dyDescent="0.2">
      <c r="A120" s="1"/>
      <c r="D120" s="1"/>
      <c r="E120" s="1"/>
    </row>
    <row r="121" spans="1:5" ht="12.75" x14ac:dyDescent="0.2">
      <c r="A121" s="1"/>
      <c r="D121" s="1"/>
      <c r="E121" s="1"/>
    </row>
    <row r="122" spans="1:5" ht="12.75" x14ac:dyDescent="0.2">
      <c r="A122" s="1"/>
      <c r="D122" s="1"/>
      <c r="E122" s="1"/>
    </row>
    <row r="123" spans="1:5" ht="12.75" x14ac:dyDescent="0.2">
      <c r="A123" s="1"/>
      <c r="D123" s="1"/>
      <c r="E123" s="1"/>
    </row>
    <row r="124" spans="1:5" ht="12.75" x14ac:dyDescent="0.2">
      <c r="A124" s="1"/>
      <c r="D124" s="1"/>
      <c r="E124" s="1"/>
    </row>
    <row r="125" spans="1:5" ht="12.75" x14ac:dyDescent="0.2">
      <c r="A125" s="1"/>
      <c r="D125" s="1"/>
      <c r="E125" s="1"/>
    </row>
    <row r="126" spans="1:5" ht="12.75" x14ac:dyDescent="0.2">
      <c r="A126" s="1"/>
      <c r="D126" s="1"/>
      <c r="E126" s="1"/>
    </row>
    <row r="127" spans="1:5" ht="12.75" x14ac:dyDescent="0.2">
      <c r="A127" s="1"/>
      <c r="D127" s="1"/>
      <c r="E127" s="1"/>
    </row>
    <row r="128" spans="1:5" ht="12.75" x14ac:dyDescent="0.2">
      <c r="A128" s="1"/>
      <c r="D128" s="1"/>
      <c r="E128" s="1"/>
    </row>
    <row r="129" spans="1:5" ht="12.75" x14ac:dyDescent="0.2">
      <c r="A129" s="1"/>
      <c r="D129" s="1"/>
      <c r="E129" s="1"/>
    </row>
    <row r="130" spans="1:5" ht="12.75" x14ac:dyDescent="0.2">
      <c r="A130" s="1"/>
      <c r="D130" s="1"/>
      <c r="E130" s="1"/>
    </row>
    <row r="131" spans="1:5" ht="12.75" x14ac:dyDescent="0.2">
      <c r="A131" s="1"/>
      <c r="D131" s="1"/>
      <c r="E131" s="1"/>
    </row>
    <row r="132" spans="1:5" ht="12.75" x14ac:dyDescent="0.2">
      <c r="A132" s="1"/>
      <c r="D132" s="1"/>
      <c r="E132" s="1"/>
    </row>
    <row r="133" spans="1:5" ht="12.75" x14ac:dyDescent="0.2">
      <c r="A133" s="1"/>
      <c r="D133" s="1"/>
      <c r="E133" s="1"/>
    </row>
    <row r="134" spans="1:5" ht="12.75" x14ac:dyDescent="0.2">
      <c r="A134" s="1"/>
      <c r="D134" s="1"/>
      <c r="E134" s="1"/>
    </row>
    <row r="135" spans="1:5" ht="12.75" x14ac:dyDescent="0.2">
      <c r="A135" s="1"/>
      <c r="D135" s="1"/>
      <c r="E135" s="1"/>
    </row>
    <row r="136" spans="1:5" ht="12.75" x14ac:dyDescent="0.2">
      <c r="A136" s="1"/>
      <c r="D136" s="1"/>
      <c r="E136" s="1"/>
    </row>
    <row r="137" spans="1:5" ht="12.75" x14ac:dyDescent="0.2">
      <c r="A137" s="1"/>
      <c r="D137" s="1"/>
      <c r="E137" s="1"/>
    </row>
    <row r="138" spans="1:5" ht="12.75" x14ac:dyDescent="0.2">
      <c r="A138" s="1"/>
      <c r="D138" s="1"/>
      <c r="E138" s="1"/>
    </row>
    <row r="139" spans="1:5" ht="12.75" x14ac:dyDescent="0.2">
      <c r="A139" s="1"/>
      <c r="D139" s="1"/>
      <c r="E139" s="1"/>
    </row>
    <row r="140" spans="1:5" ht="12.75" x14ac:dyDescent="0.2">
      <c r="A140" s="1"/>
      <c r="D140" s="1"/>
      <c r="E140" s="1"/>
    </row>
    <row r="141" spans="1:5" ht="12.75" x14ac:dyDescent="0.2">
      <c r="A141" s="1"/>
      <c r="D141" s="1"/>
      <c r="E141" s="1"/>
    </row>
    <row r="142" spans="1:5" ht="12.75" x14ac:dyDescent="0.2">
      <c r="A142" s="1"/>
      <c r="D142" s="1"/>
      <c r="E142" s="1"/>
    </row>
    <row r="143" spans="1:5" ht="12.75" x14ac:dyDescent="0.2">
      <c r="A143" s="1"/>
      <c r="D143" s="1"/>
      <c r="E143" s="1"/>
    </row>
    <row r="144" spans="1:5" ht="12.75" x14ac:dyDescent="0.2">
      <c r="A144" s="1"/>
      <c r="D144" s="1"/>
      <c r="E144" s="1"/>
    </row>
    <row r="145" spans="1:5" ht="12.75" x14ac:dyDescent="0.2">
      <c r="A145" s="1"/>
      <c r="D145" s="1"/>
      <c r="E145" s="1"/>
    </row>
    <row r="146" spans="1:5" ht="12.75" x14ac:dyDescent="0.2">
      <c r="A146" s="1"/>
      <c r="D146" s="1"/>
      <c r="E146" s="1"/>
    </row>
    <row r="147" spans="1:5" ht="12.75" x14ac:dyDescent="0.2">
      <c r="A147" s="1"/>
      <c r="D147" s="1"/>
      <c r="E147" s="1"/>
    </row>
    <row r="148" spans="1:5" ht="12.75" x14ac:dyDescent="0.2">
      <c r="A148" s="1"/>
      <c r="D148" s="1"/>
      <c r="E148" s="1"/>
    </row>
    <row r="149" spans="1:5" ht="12.75" x14ac:dyDescent="0.2">
      <c r="A149" s="1"/>
      <c r="D149" s="1"/>
      <c r="E149" s="1"/>
    </row>
    <row r="150" spans="1:5" ht="12.75" x14ac:dyDescent="0.2">
      <c r="A150" s="1"/>
      <c r="D150" s="1"/>
      <c r="E150" s="1"/>
    </row>
    <row r="151" spans="1:5" ht="12.75" x14ac:dyDescent="0.2">
      <c r="A151" s="1"/>
      <c r="D151" s="1"/>
      <c r="E151" s="1"/>
    </row>
  </sheetData>
  <mergeCells count="2">
    <mergeCell ref="A1:K1"/>
    <mergeCell ref="A2:K2"/>
  </mergeCells>
  <conditionalFormatting sqref="D7:D79">
    <cfRule type="cellIs" dxfId="16" priority="4" operator="equal">
      <formula>"HIGH"</formula>
    </cfRule>
    <cfRule type="cellIs" dxfId="15" priority="5" operator="equal">
      <formula>"MEDIUM"</formula>
    </cfRule>
    <cfRule type="cellIs" dxfId="14" priority="6" operator="equal">
      <formula>"LOW"</formula>
    </cfRule>
  </conditionalFormatting>
  <conditionalFormatting sqref="J7:J14">
    <cfRule type="cellIs" dxfId="13" priority="1" operator="equal">
      <formula>"HIGH"</formula>
    </cfRule>
    <cfRule type="cellIs" dxfId="12" priority="2" operator="equal">
      <formula>"MEDIUM"</formula>
    </cfRule>
    <cfRule type="cellIs" dxfId="11" priority="3" operator="equal">
      <formula>"LOW"</formula>
    </cfRule>
  </conditionalFormatting>
  <dataValidations count="2">
    <dataValidation type="custom" allowBlank="1" showDropDown="1" sqref="O3:P4 G7:G14 K7:K14 A7:A79 E7:E79" xr:uid="{00000000-0002-0000-0700-000000000000}">
      <formula1>AND(ISNUMBER(A3),(NOT(OR(NOT(ISERROR(DATEVALUE(A3))), AND(ISNUMBER(A3), LEFT(CELL("format", A3))="D")))))</formula1>
    </dataValidation>
    <dataValidation type="list" allowBlank="1" sqref="J7:J14 D7:D79" xr:uid="{00000000-0002-0000-0700-000001000000}">
      <formula1>"LOW,MEDIUM,HIGH"</formula1>
    </dataValidation>
  </dataValidations>
  <pageMargins left="0.7" right="0.7" top="0.75" bottom="0.75" header="0.3" footer="0.3"/>
  <ignoredErrors>
    <ignoredError sqref="G14 A74:A79" listDataValidation="1"/>
  </ignoredErrors>
  <tableParts count="3">
    <tablePart r:id="rId1"/>
    <tablePart r:id="rId2"/>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P165"/>
  <sheetViews>
    <sheetView workbookViewId="0">
      <selection activeCell="I5" sqref="I5"/>
    </sheetView>
  </sheetViews>
  <sheetFormatPr defaultColWidth="12.5703125" defaultRowHeight="15.75" customHeight="1" x14ac:dyDescent="0.2"/>
  <cols>
    <col min="1" max="1" width="12.5703125" style="21"/>
    <col min="2" max="2" width="25.140625" style="21" customWidth="1"/>
    <col min="3" max="3" width="69.140625" style="21" customWidth="1"/>
    <col min="4" max="7" width="12.5703125" style="21"/>
    <col min="8" max="8" width="23.140625" style="21" customWidth="1"/>
    <col min="9" max="9" width="83.140625" style="21" customWidth="1"/>
    <col min="10" max="13" width="12.5703125" style="21"/>
    <col min="14" max="14" width="21.28515625" style="21" customWidth="1"/>
    <col min="15" max="15" width="18.42578125" style="21" customWidth="1"/>
    <col min="16" max="16" width="25.42578125" style="21" customWidth="1"/>
    <col min="17" max="16384" width="12.5703125" style="21"/>
  </cols>
  <sheetData>
    <row r="1" spans="1:16" ht="38.25" x14ac:dyDescent="0.2">
      <c r="A1" s="25" t="s">
        <v>15</v>
      </c>
      <c r="B1" s="26"/>
      <c r="C1" s="26"/>
      <c r="D1" s="26"/>
      <c r="E1" s="26"/>
      <c r="F1" s="26"/>
      <c r="G1" s="26"/>
      <c r="H1" s="26"/>
      <c r="I1" s="26"/>
      <c r="J1" s="26"/>
      <c r="K1" s="26"/>
    </row>
    <row r="2" spans="1:16" ht="22.5" customHeight="1" x14ac:dyDescent="0.4">
      <c r="A2" s="27" t="s">
        <v>16</v>
      </c>
      <c r="B2" s="26"/>
      <c r="C2" s="26"/>
      <c r="D2" s="26"/>
      <c r="E2" s="26"/>
      <c r="F2" s="26"/>
      <c r="G2" s="26"/>
      <c r="H2" s="26"/>
      <c r="I2" s="26"/>
      <c r="J2" s="26"/>
      <c r="K2" s="26"/>
      <c r="N2" s="15" t="s">
        <v>17</v>
      </c>
      <c r="O2" s="15" t="s">
        <v>18</v>
      </c>
      <c r="P2" s="15" t="s">
        <v>3</v>
      </c>
    </row>
    <row r="3" spans="1:16" ht="22.5" customHeight="1" x14ac:dyDescent="0.2">
      <c r="A3" s="1"/>
      <c r="B3" s="1"/>
      <c r="C3" s="2"/>
      <c r="D3" s="1"/>
      <c r="E3" s="2"/>
      <c r="F3" s="1"/>
      <c r="G3" s="1"/>
      <c r="H3" s="1"/>
      <c r="I3" s="2"/>
      <c r="J3" s="1"/>
      <c r="K3" s="2"/>
      <c r="N3" s="18" t="s">
        <v>19</v>
      </c>
      <c r="O3" s="18">
        <f>Detailed_Analysis[[#Totals],[Step Num]]</f>
        <v>158</v>
      </c>
      <c r="P3" s="18">
        <f>Detailed_Analysis[[#Totals],[Effort Hours (hrs)]]</f>
        <v>6152</v>
      </c>
    </row>
    <row r="4" spans="1:16" ht="22.5" customHeight="1" x14ac:dyDescent="0.2">
      <c r="A4" s="1"/>
      <c r="B4" s="1"/>
      <c r="C4" s="2"/>
      <c r="D4" s="1"/>
      <c r="E4" s="2"/>
      <c r="F4" s="1"/>
      <c r="G4" s="1"/>
      <c r="H4" s="1"/>
      <c r="I4" s="2"/>
      <c r="J4" s="1"/>
      <c r="K4" s="2"/>
      <c r="N4" s="18" t="s">
        <v>20</v>
      </c>
      <c r="O4" s="18">
        <f>Streamlined_Analysis[[#Totals],[Step Num]]</f>
        <v>17</v>
      </c>
      <c r="P4" s="18">
        <f>Streamlined_Analysis[[#Totals],[Effort Hours (hrs)]]</f>
        <v>1088</v>
      </c>
    </row>
    <row r="5" spans="1:16" ht="12.75" x14ac:dyDescent="0.2">
      <c r="A5" s="1"/>
      <c r="B5" s="1"/>
      <c r="C5" s="2"/>
      <c r="D5" s="1"/>
      <c r="E5" s="2"/>
      <c r="F5" s="1"/>
      <c r="G5" s="1"/>
      <c r="H5" s="1"/>
      <c r="I5" s="2"/>
      <c r="J5" s="1"/>
      <c r="K5" s="2"/>
    </row>
    <row r="6" spans="1:16" ht="27" customHeight="1" x14ac:dyDescent="0.2">
      <c r="A6" s="15" t="s">
        <v>21</v>
      </c>
      <c r="B6" s="15" t="s">
        <v>22</v>
      </c>
      <c r="C6" s="16" t="s">
        <v>23</v>
      </c>
      <c r="D6" s="15" t="s">
        <v>24</v>
      </c>
      <c r="E6" s="16" t="s">
        <v>3</v>
      </c>
      <c r="F6" s="1"/>
      <c r="G6" s="15" t="s">
        <v>21</v>
      </c>
      <c r="H6" s="15" t="s">
        <v>22</v>
      </c>
      <c r="I6" s="16" t="s">
        <v>23</v>
      </c>
      <c r="J6" s="15" t="s">
        <v>24</v>
      </c>
      <c r="K6" s="16" t="s">
        <v>3</v>
      </c>
    </row>
    <row r="7" spans="1:16" ht="22.5" customHeight="1" x14ac:dyDescent="0.2">
      <c r="A7" s="4">
        <v>7.1</v>
      </c>
      <c r="B7" s="5" t="s">
        <v>25</v>
      </c>
      <c r="C7" s="5" t="s">
        <v>26</v>
      </c>
      <c r="D7" s="7" t="s">
        <v>27</v>
      </c>
      <c r="E7" s="6">
        <f t="shared" ref="E7:E164" si="0">IF(D7="LOW", 16, IF(D7="MEDIUM", 40, IF(D7="HIGH", 100, "")))</f>
        <v>16</v>
      </c>
      <c r="F7" s="1"/>
      <c r="G7" s="4">
        <v>7.3</v>
      </c>
      <c r="H7" s="5" t="s">
        <v>28</v>
      </c>
      <c r="I7" s="5" t="s">
        <v>29</v>
      </c>
      <c r="J7" s="7" t="s">
        <v>30</v>
      </c>
      <c r="K7" s="6">
        <f t="shared" ref="K7:K23" si="1">IF(J7="LOW", 16, IF(J7="MEDIUM", 40, IF(J7="HIGH", 100, "")))</f>
        <v>40</v>
      </c>
    </row>
    <row r="8" spans="1:16" ht="22.5" customHeight="1" x14ac:dyDescent="0.2">
      <c r="A8" s="4">
        <v>7.2</v>
      </c>
      <c r="B8" s="5" t="s">
        <v>31</v>
      </c>
      <c r="C8" s="5" t="s">
        <v>32</v>
      </c>
      <c r="D8" s="7" t="s">
        <v>27</v>
      </c>
      <c r="E8" s="6">
        <f t="shared" si="0"/>
        <v>16</v>
      </c>
      <c r="F8" s="1"/>
      <c r="G8" s="4">
        <v>8.5</v>
      </c>
      <c r="H8" s="5" t="s">
        <v>33</v>
      </c>
      <c r="I8" s="5" t="s">
        <v>34</v>
      </c>
      <c r="J8" s="7" t="s">
        <v>35</v>
      </c>
      <c r="K8" s="6">
        <f t="shared" si="1"/>
        <v>100</v>
      </c>
    </row>
    <row r="9" spans="1:16" ht="22.5" customHeight="1" x14ac:dyDescent="0.2">
      <c r="A9" s="4">
        <v>7.3</v>
      </c>
      <c r="B9" s="5" t="s">
        <v>28</v>
      </c>
      <c r="C9" s="5" t="s">
        <v>29</v>
      </c>
      <c r="D9" s="7" t="s">
        <v>30</v>
      </c>
      <c r="E9" s="6">
        <f t="shared" si="0"/>
        <v>40</v>
      </c>
      <c r="F9" s="1"/>
      <c r="G9" s="4">
        <v>9.4</v>
      </c>
      <c r="H9" s="5" t="s">
        <v>36</v>
      </c>
      <c r="I9" s="5" t="s">
        <v>37</v>
      </c>
      <c r="J9" s="7" t="s">
        <v>35</v>
      </c>
      <c r="K9" s="6">
        <f t="shared" si="1"/>
        <v>100</v>
      </c>
    </row>
    <row r="10" spans="1:16" ht="22.5" customHeight="1" x14ac:dyDescent="0.2">
      <c r="A10" s="4">
        <v>8.1</v>
      </c>
      <c r="B10" s="5" t="s">
        <v>38</v>
      </c>
      <c r="C10" s="5" t="s">
        <v>39</v>
      </c>
      <c r="D10" s="7" t="s">
        <v>27</v>
      </c>
      <c r="E10" s="6">
        <f t="shared" si="0"/>
        <v>16</v>
      </c>
      <c r="F10" s="1"/>
      <c r="G10" s="4">
        <v>9.2799999999999994</v>
      </c>
      <c r="H10" s="5" t="s">
        <v>40</v>
      </c>
      <c r="I10" s="5" t="s">
        <v>41</v>
      </c>
      <c r="J10" s="7" t="s">
        <v>35</v>
      </c>
      <c r="K10" s="6">
        <f t="shared" si="1"/>
        <v>100</v>
      </c>
    </row>
    <row r="11" spans="1:16" ht="22.5" customHeight="1" x14ac:dyDescent="0.2">
      <c r="A11" s="4">
        <v>8.1999999999999993</v>
      </c>
      <c r="B11" s="5" t="s">
        <v>42</v>
      </c>
      <c r="C11" s="5" t="s">
        <v>43</v>
      </c>
      <c r="D11" s="7" t="s">
        <v>27</v>
      </c>
      <c r="E11" s="6">
        <f t="shared" si="0"/>
        <v>16</v>
      </c>
      <c r="F11" s="1"/>
      <c r="G11" s="4">
        <v>13.7</v>
      </c>
      <c r="H11" s="5" t="s">
        <v>44</v>
      </c>
      <c r="I11" s="5" t="s">
        <v>45</v>
      </c>
      <c r="J11" s="7" t="s">
        <v>30</v>
      </c>
      <c r="K11" s="6">
        <f t="shared" si="1"/>
        <v>40</v>
      </c>
    </row>
    <row r="12" spans="1:16" ht="22.5" customHeight="1" x14ac:dyDescent="0.2">
      <c r="A12" s="4">
        <v>8.3000000000000007</v>
      </c>
      <c r="B12" s="5" t="s">
        <v>46</v>
      </c>
      <c r="C12" s="5" t="s">
        <v>47</v>
      </c>
      <c r="D12" s="7" t="s">
        <v>27</v>
      </c>
      <c r="E12" s="6">
        <f t="shared" si="0"/>
        <v>16</v>
      </c>
      <c r="F12" s="1"/>
      <c r="G12" s="4">
        <v>13.9</v>
      </c>
      <c r="H12" s="5" t="s">
        <v>48</v>
      </c>
      <c r="I12" s="5" t="s">
        <v>49</v>
      </c>
      <c r="J12" s="7" t="s">
        <v>35</v>
      </c>
      <c r="K12" s="6">
        <f t="shared" si="1"/>
        <v>100</v>
      </c>
    </row>
    <row r="13" spans="1:16" ht="22.5" customHeight="1" x14ac:dyDescent="0.2">
      <c r="A13" s="4">
        <v>8.4</v>
      </c>
      <c r="B13" s="5" t="s">
        <v>50</v>
      </c>
      <c r="C13" s="5" t="s">
        <v>51</v>
      </c>
      <c r="D13" s="7" t="s">
        <v>27</v>
      </c>
      <c r="E13" s="6">
        <f t="shared" si="0"/>
        <v>16</v>
      </c>
      <c r="F13" s="1"/>
      <c r="G13" s="4">
        <v>14.2</v>
      </c>
      <c r="H13" s="5" t="s">
        <v>52</v>
      </c>
      <c r="I13" s="5" t="s">
        <v>53</v>
      </c>
      <c r="J13" s="7" t="s">
        <v>27</v>
      </c>
      <c r="K13" s="6">
        <f t="shared" si="1"/>
        <v>16</v>
      </c>
    </row>
    <row r="14" spans="1:16" ht="22.5" customHeight="1" x14ac:dyDescent="0.2">
      <c r="A14" s="4">
        <v>8.5</v>
      </c>
      <c r="B14" s="5" t="s">
        <v>33</v>
      </c>
      <c r="C14" s="5" t="s">
        <v>34</v>
      </c>
      <c r="D14" s="7" t="s">
        <v>35</v>
      </c>
      <c r="E14" s="6">
        <f t="shared" si="0"/>
        <v>100</v>
      </c>
      <c r="F14" s="1"/>
      <c r="G14" s="4" t="s">
        <v>54</v>
      </c>
      <c r="H14" s="5" t="s">
        <v>55</v>
      </c>
      <c r="I14" s="5" t="s">
        <v>56</v>
      </c>
      <c r="J14" s="7" t="s">
        <v>35</v>
      </c>
      <c r="K14" s="6">
        <f t="shared" si="1"/>
        <v>100</v>
      </c>
    </row>
    <row r="15" spans="1:16" ht="22.5" customHeight="1" x14ac:dyDescent="0.2">
      <c r="A15" s="4">
        <v>8.6</v>
      </c>
      <c r="B15" s="5" t="s">
        <v>57</v>
      </c>
      <c r="C15" s="5" t="s">
        <v>58</v>
      </c>
      <c r="D15" s="7" t="s">
        <v>30</v>
      </c>
      <c r="E15" s="6">
        <f t="shared" si="0"/>
        <v>40</v>
      </c>
      <c r="F15" s="1"/>
      <c r="G15" s="4" t="s">
        <v>59</v>
      </c>
      <c r="H15" s="5" t="s">
        <v>60</v>
      </c>
      <c r="I15" s="5" t="s">
        <v>61</v>
      </c>
      <c r="J15" s="7" t="s">
        <v>30</v>
      </c>
      <c r="K15" s="6">
        <f t="shared" si="1"/>
        <v>40</v>
      </c>
    </row>
    <row r="16" spans="1:16" ht="22.5" customHeight="1" x14ac:dyDescent="0.2">
      <c r="A16" s="4">
        <v>8.6999999999999993</v>
      </c>
      <c r="B16" s="5" t="s">
        <v>62</v>
      </c>
      <c r="C16" s="5" t="s">
        <v>63</v>
      </c>
      <c r="D16" s="7" t="s">
        <v>30</v>
      </c>
      <c r="E16" s="6">
        <f t="shared" si="0"/>
        <v>40</v>
      </c>
      <c r="F16" s="1"/>
      <c r="G16" s="4" t="s">
        <v>64</v>
      </c>
      <c r="H16" s="5" t="s">
        <v>65</v>
      </c>
      <c r="I16" s="5" t="s">
        <v>66</v>
      </c>
      <c r="J16" s="7" t="s">
        <v>35</v>
      </c>
      <c r="K16" s="6">
        <f t="shared" si="1"/>
        <v>100</v>
      </c>
    </row>
    <row r="17" spans="1:11" ht="22.5" customHeight="1" x14ac:dyDescent="0.2">
      <c r="A17" s="4">
        <v>9.1</v>
      </c>
      <c r="B17" s="5" t="s">
        <v>67</v>
      </c>
      <c r="C17" s="5" t="s">
        <v>68</v>
      </c>
      <c r="D17" s="7" t="s">
        <v>27</v>
      </c>
      <c r="E17" s="6">
        <f t="shared" si="0"/>
        <v>16</v>
      </c>
      <c r="F17" s="1"/>
      <c r="G17" s="4" t="s">
        <v>69</v>
      </c>
      <c r="H17" s="5" t="s">
        <v>70</v>
      </c>
      <c r="I17" s="5" t="s">
        <v>71</v>
      </c>
      <c r="J17" s="7" t="s">
        <v>35</v>
      </c>
      <c r="K17" s="6">
        <f t="shared" si="1"/>
        <v>100</v>
      </c>
    </row>
    <row r="18" spans="1:11" ht="22.5" customHeight="1" x14ac:dyDescent="0.2">
      <c r="A18" s="4">
        <v>9.1999999999999993</v>
      </c>
      <c r="B18" s="5" t="s">
        <v>72</v>
      </c>
      <c r="C18" s="5" t="s">
        <v>73</v>
      </c>
      <c r="D18" s="7" t="s">
        <v>30</v>
      </c>
      <c r="E18" s="6">
        <f t="shared" si="0"/>
        <v>40</v>
      </c>
      <c r="F18" s="1"/>
      <c r="G18" s="4" t="s">
        <v>74</v>
      </c>
      <c r="H18" s="5" t="s">
        <v>75</v>
      </c>
      <c r="I18" s="5" t="s">
        <v>76</v>
      </c>
      <c r="J18" s="7" t="s">
        <v>30</v>
      </c>
      <c r="K18" s="6">
        <f t="shared" si="1"/>
        <v>40</v>
      </c>
    </row>
    <row r="19" spans="1:11" ht="22.5" customHeight="1" x14ac:dyDescent="0.2">
      <c r="A19" s="4">
        <v>9.3000000000000007</v>
      </c>
      <c r="B19" s="5" t="s">
        <v>77</v>
      </c>
      <c r="C19" s="5" t="s">
        <v>78</v>
      </c>
      <c r="D19" s="7" t="s">
        <v>30</v>
      </c>
      <c r="E19" s="6">
        <f t="shared" si="0"/>
        <v>40</v>
      </c>
      <c r="G19" s="4" t="s">
        <v>79</v>
      </c>
      <c r="H19" s="5" t="s">
        <v>80</v>
      </c>
      <c r="I19" s="5" t="s">
        <v>81</v>
      </c>
      <c r="J19" s="7" t="s">
        <v>27</v>
      </c>
      <c r="K19" s="6">
        <f t="shared" si="1"/>
        <v>16</v>
      </c>
    </row>
    <row r="20" spans="1:11" ht="22.5" customHeight="1" x14ac:dyDescent="0.2">
      <c r="A20" s="4">
        <v>9.4</v>
      </c>
      <c r="B20" s="5" t="s">
        <v>36</v>
      </c>
      <c r="C20" s="5" t="s">
        <v>37</v>
      </c>
      <c r="D20" s="7" t="s">
        <v>35</v>
      </c>
      <c r="E20" s="6">
        <f t="shared" si="0"/>
        <v>100</v>
      </c>
      <c r="G20" s="4" t="s">
        <v>82</v>
      </c>
      <c r="H20" s="5" t="s">
        <v>83</v>
      </c>
      <c r="I20" s="5" t="s">
        <v>84</v>
      </c>
      <c r="J20" s="7" t="s">
        <v>35</v>
      </c>
      <c r="K20" s="6">
        <f t="shared" si="1"/>
        <v>100</v>
      </c>
    </row>
    <row r="21" spans="1:11" ht="22.5" customHeight="1" x14ac:dyDescent="0.2">
      <c r="A21" s="4">
        <v>9.5</v>
      </c>
      <c r="B21" s="5" t="s">
        <v>85</v>
      </c>
      <c r="C21" s="5" t="s">
        <v>86</v>
      </c>
      <c r="D21" s="7" t="s">
        <v>27</v>
      </c>
      <c r="E21" s="6">
        <f t="shared" si="0"/>
        <v>16</v>
      </c>
      <c r="G21" s="4" t="s">
        <v>87</v>
      </c>
      <c r="H21" s="5" t="s">
        <v>88</v>
      </c>
      <c r="I21" s="5" t="s">
        <v>89</v>
      </c>
      <c r="J21" s="7" t="s">
        <v>30</v>
      </c>
      <c r="K21" s="6">
        <f t="shared" si="1"/>
        <v>40</v>
      </c>
    </row>
    <row r="22" spans="1:11" ht="22.5" customHeight="1" x14ac:dyDescent="0.2">
      <c r="A22" s="4">
        <v>9.6</v>
      </c>
      <c r="B22" s="5" t="s">
        <v>90</v>
      </c>
      <c r="C22" s="5" t="s">
        <v>91</v>
      </c>
      <c r="D22" s="7" t="s">
        <v>35</v>
      </c>
      <c r="E22" s="6">
        <f t="shared" si="0"/>
        <v>100</v>
      </c>
      <c r="G22" s="4" t="s">
        <v>92</v>
      </c>
      <c r="H22" s="5" t="s">
        <v>93</v>
      </c>
      <c r="I22" s="5" t="s">
        <v>94</v>
      </c>
      <c r="J22" s="7" t="s">
        <v>30</v>
      </c>
      <c r="K22" s="6">
        <f t="shared" si="1"/>
        <v>40</v>
      </c>
    </row>
    <row r="23" spans="1:11" ht="22.5" customHeight="1" x14ac:dyDescent="0.2">
      <c r="A23" s="4">
        <v>9.6999999999999993</v>
      </c>
      <c r="B23" s="5" t="s">
        <v>95</v>
      </c>
      <c r="C23" s="5" t="s">
        <v>96</v>
      </c>
      <c r="D23" s="7" t="s">
        <v>30</v>
      </c>
      <c r="E23" s="6">
        <f t="shared" si="0"/>
        <v>40</v>
      </c>
      <c r="G23" s="4" t="s">
        <v>97</v>
      </c>
      <c r="H23" s="5" t="s">
        <v>98</v>
      </c>
      <c r="I23" s="5" t="s">
        <v>99</v>
      </c>
      <c r="J23" s="7" t="s">
        <v>27</v>
      </c>
      <c r="K23" s="6">
        <f t="shared" si="1"/>
        <v>16</v>
      </c>
    </row>
    <row r="24" spans="1:11" ht="22.5" customHeight="1" x14ac:dyDescent="0.2">
      <c r="A24" s="4">
        <v>9.8000000000000007</v>
      </c>
      <c r="B24" s="5" t="s">
        <v>100</v>
      </c>
      <c r="C24" s="5" t="s">
        <v>101</v>
      </c>
      <c r="D24" s="7" t="s">
        <v>30</v>
      </c>
      <c r="E24" s="6">
        <f t="shared" si="0"/>
        <v>40</v>
      </c>
      <c r="G24" s="18">
        <f>COUNTA(Streamlined_Analysis[Step Num])</f>
        <v>17</v>
      </c>
      <c r="H24" s="18"/>
      <c r="I24" s="18"/>
      <c r="J24" s="18"/>
      <c r="K24" s="18">
        <f>SUM(Streamlined_Analysis[Effort Hours (hrs)])</f>
        <v>1088</v>
      </c>
    </row>
    <row r="25" spans="1:11" ht="22.5" customHeight="1" x14ac:dyDescent="0.2">
      <c r="A25" s="4">
        <v>9.9</v>
      </c>
      <c r="B25" s="5" t="s">
        <v>102</v>
      </c>
      <c r="C25" s="5" t="s">
        <v>103</v>
      </c>
      <c r="D25" s="7" t="s">
        <v>30</v>
      </c>
      <c r="E25" s="6">
        <f t="shared" si="0"/>
        <v>40</v>
      </c>
    </row>
    <row r="26" spans="1:11" ht="22.5" customHeight="1" x14ac:dyDescent="0.2">
      <c r="A26" s="4">
        <v>9.1</v>
      </c>
      <c r="B26" s="5" t="s">
        <v>104</v>
      </c>
      <c r="C26" s="5" t="s">
        <v>105</v>
      </c>
      <c r="D26" s="7" t="s">
        <v>30</v>
      </c>
      <c r="E26" s="6">
        <f t="shared" si="0"/>
        <v>40</v>
      </c>
    </row>
    <row r="27" spans="1:11" ht="22.5" customHeight="1" x14ac:dyDescent="0.2">
      <c r="A27" s="4">
        <v>9.11</v>
      </c>
      <c r="B27" s="5" t="s">
        <v>106</v>
      </c>
      <c r="C27" s="5" t="s">
        <v>107</v>
      </c>
      <c r="D27" s="7" t="s">
        <v>30</v>
      </c>
      <c r="E27" s="6">
        <f t="shared" si="0"/>
        <v>40</v>
      </c>
    </row>
    <row r="28" spans="1:11" ht="22.5" customHeight="1" x14ac:dyDescent="0.2">
      <c r="A28" s="4">
        <v>9.1199999999999992</v>
      </c>
      <c r="B28" s="5" t="s">
        <v>108</v>
      </c>
      <c r="C28" s="5" t="s">
        <v>109</v>
      </c>
      <c r="D28" s="7" t="s">
        <v>30</v>
      </c>
      <c r="E28" s="6">
        <f t="shared" si="0"/>
        <v>40</v>
      </c>
    </row>
    <row r="29" spans="1:11" ht="22.5" customHeight="1" x14ac:dyDescent="0.2">
      <c r="A29" s="4">
        <v>9.1300000000000008</v>
      </c>
      <c r="B29" s="5" t="s">
        <v>110</v>
      </c>
      <c r="C29" s="5" t="s">
        <v>111</v>
      </c>
      <c r="D29" s="7" t="s">
        <v>27</v>
      </c>
      <c r="E29" s="6">
        <f t="shared" si="0"/>
        <v>16</v>
      </c>
    </row>
    <row r="30" spans="1:11" ht="22.5" customHeight="1" x14ac:dyDescent="0.2">
      <c r="A30" s="4">
        <v>9.14</v>
      </c>
      <c r="B30" s="5" t="s">
        <v>112</v>
      </c>
      <c r="C30" s="5" t="s">
        <v>113</v>
      </c>
      <c r="D30" s="7" t="s">
        <v>30</v>
      </c>
      <c r="E30" s="6">
        <f t="shared" si="0"/>
        <v>40</v>
      </c>
    </row>
    <row r="31" spans="1:11" ht="22.5" customHeight="1" x14ac:dyDescent="0.2">
      <c r="A31" s="4">
        <v>9.15</v>
      </c>
      <c r="B31" s="5" t="s">
        <v>114</v>
      </c>
      <c r="C31" s="5" t="s">
        <v>115</v>
      </c>
      <c r="D31" s="7" t="s">
        <v>35</v>
      </c>
      <c r="E31" s="6">
        <f t="shared" si="0"/>
        <v>100</v>
      </c>
    </row>
    <row r="32" spans="1:11" ht="22.5" customHeight="1" x14ac:dyDescent="0.2">
      <c r="A32" s="4">
        <v>9.16</v>
      </c>
      <c r="B32" s="5" t="s">
        <v>116</v>
      </c>
      <c r="C32" s="5" t="s">
        <v>117</v>
      </c>
      <c r="D32" s="7" t="s">
        <v>30</v>
      </c>
      <c r="E32" s="6">
        <f t="shared" si="0"/>
        <v>40</v>
      </c>
    </row>
    <row r="33" spans="1:5" ht="22.5" customHeight="1" x14ac:dyDescent="0.2">
      <c r="A33" s="4">
        <v>9.17</v>
      </c>
      <c r="B33" s="5" t="s">
        <v>118</v>
      </c>
      <c r="C33" s="5" t="s">
        <v>119</v>
      </c>
      <c r="D33" s="7" t="s">
        <v>30</v>
      </c>
      <c r="E33" s="6">
        <f t="shared" si="0"/>
        <v>40</v>
      </c>
    </row>
    <row r="34" spans="1:5" ht="22.5" customHeight="1" x14ac:dyDescent="0.2">
      <c r="A34" s="4">
        <v>9.18</v>
      </c>
      <c r="B34" s="5" t="s">
        <v>120</v>
      </c>
      <c r="C34" s="5" t="s">
        <v>121</v>
      </c>
      <c r="D34" s="7" t="s">
        <v>30</v>
      </c>
      <c r="E34" s="6">
        <f t="shared" si="0"/>
        <v>40</v>
      </c>
    </row>
    <row r="35" spans="1:5" ht="22.5" customHeight="1" x14ac:dyDescent="0.2">
      <c r="A35" s="4">
        <v>9.19</v>
      </c>
      <c r="B35" s="5" t="s">
        <v>122</v>
      </c>
      <c r="C35" s="5" t="s">
        <v>123</v>
      </c>
      <c r="D35" s="7" t="s">
        <v>30</v>
      </c>
      <c r="E35" s="6">
        <f t="shared" si="0"/>
        <v>40</v>
      </c>
    </row>
    <row r="36" spans="1:5" ht="22.5" customHeight="1" x14ac:dyDescent="0.2">
      <c r="A36" s="4">
        <v>9.1999999999999993</v>
      </c>
      <c r="B36" s="5" t="s">
        <v>124</v>
      </c>
      <c r="C36" s="5" t="s">
        <v>125</v>
      </c>
      <c r="D36" s="7" t="s">
        <v>30</v>
      </c>
      <c r="E36" s="6">
        <f t="shared" si="0"/>
        <v>40</v>
      </c>
    </row>
    <row r="37" spans="1:5" ht="22.5" customHeight="1" x14ac:dyDescent="0.2">
      <c r="A37" s="4">
        <v>9.2100000000000009</v>
      </c>
      <c r="B37" s="5" t="s">
        <v>126</v>
      </c>
      <c r="C37" s="5" t="s">
        <v>127</v>
      </c>
      <c r="D37" s="7" t="s">
        <v>27</v>
      </c>
      <c r="E37" s="6">
        <f t="shared" si="0"/>
        <v>16</v>
      </c>
    </row>
    <row r="38" spans="1:5" ht="22.5" customHeight="1" x14ac:dyDescent="0.2">
      <c r="A38" s="4">
        <v>9.2200000000000006</v>
      </c>
      <c r="B38" s="5" t="s">
        <v>128</v>
      </c>
      <c r="C38" s="5" t="s">
        <v>129</v>
      </c>
      <c r="D38" s="7" t="s">
        <v>30</v>
      </c>
      <c r="E38" s="6">
        <f t="shared" si="0"/>
        <v>40</v>
      </c>
    </row>
    <row r="39" spans="1:5" ht="22.5" customHeight="1" x14ac:dyDescent="0.2">
      <c r="A39" s="4">
        <v>9.23</v>
      </c>
      <c r="B39" s="5" t="s">
        <v>130</v>
      </c>
      <c r="C39" s="5" t="s">
        <v>131</v>
      </c>
      <c r="D39" s="7" t="s">
        <v>27</v>
      </c>
      <c r="E39" s="6">
        <f t="shared" si="0"/>
        <v>16</v>
      </c>
    </row>
    <row r="40" spans="1:5" ht="22.5" customHeight="1" x14ac:dyDescent="0.2">
      <c r="A40" s="4">
        <v>9.24</v>
      </c>
      <c r="B40" s="5" t="s">
        <v>132</v>
      </c>
      <c r="C40" s="5" t="s">
        <v>133</v>
      </c>
      <c r="D40" s="7" t="s">
        <v>27</v>
      </c>
      <c r="E40" s="6">
        <f t="shared" si="0"/>
        <v>16</v>
      </c>
    </row>
    <row r="41" spans="1:5" ht="22.5" customHeight="1" x14ac:dyDescent="0.2">
      <c r="A41" s="4">
        <v>9.25</v>
      </c>
      <c r="B41" s="5" t="s">
        <v>134</v>
      </c>
      <c r="C41" s="5" t="s">
        <v>135</v>
      </c>
      <c r="D41" s="7" t="s">
        <v>30</v>
      </c>
      <c r="E41" s="6">
        <f t="shared" si="0"/>
        <v>40</v>
      </c>
    </row>
    <row r="42" spans="1:5" ht="22.5" customHeight="1" x14ac:dyDescent="0.2">
      <c r="A42" s="4">
        <v>9.26</v>
      </c>
      <c r="B42" s="5" t="s">
        <v>136</v>
      </c>
      <c r="C42" s="5" t="s">
        <v>137</v>
      </c>
      <c r="D42" s="7" t="s">
        <v>30</v>
      </c>
      <c r="E42" s="6">
        <f t="shared" si="0"/>
        <v>40</v>
      </c>
    </row>
    <row r="43" spans="1:5" ht="22.5" customHeight="1" x14ac:dyDescent="0.2">
      <c r="A43" s="4">
        <v>9.27</v>
      </c>
      <c r="B43" s="5" t="s">
        <v>138</v>
      </c>
      <c r="C43" s="5" t="s">
        <v>139</v>
      </c>
      <c r="D43" s="7" t="s">
        <v>30</v>
      </c>
      <c r="E43" s="6">
        <f t="shared" si="0"/>
        <v>40</v>
      </c>
    </row>
    <row r="44" spans="1:5" ht="22.5" customHeight="1" x14ac:dyDescent="0.2">
      <c r="A44" s="4">
        <v>9.2799999999999994</v>
      </c>
      <c r="B44" s="5" t="s">
        <v>40</v>
      </c>
      <c r="C44" s="5" t="s">
        <v>41</v>
      </c>
      <c r="D44" s="7" t="s">
        <v>35</v>
      </c>
      <c r="E44" s="6">
        <f t="shared" si="0"/>
        <v>100</v>
      </c>
    </row>
    <row r="45" spans="1:5" ht="22.5" customHeight="1" x14ac:dyDescent="0.2">
      <c r="A45" s="4">
        <v>10.1</v>
      </c>
      <c r="B45" s="5" t="s">
        <v>140</v>
      </c>
      <c r="C45" s="5" t="s">
        <v>141</v>
      </c>
      <c r="D45" s="7" t="s">
        <v>27</v>
      </c>
      <c r="E45" s="6">
        <f t="shared" si="0"/>
        <v>16</v>
      </c>
    </row>
    <row r="46" spans="1:5" ht="22.5" customHeight="1" x14ac:dyDescent="0.2">
      <c r="A46" s="4">
        <v>10.199999999999999</v>
      </c>
      <c r="B46" s="5" t="s">
        <v>142</v>
      </c>
      <c r="C46" s="5" t="s">
        <v>143</v>
      </c>
      <c r="D46" s="7" t="s">
        <v>30</v>
      </c>
      <c r="E46" s="6">
        <f t="shared" si="0"/>
        <v>40</v>
      </c>
    </row>
    <row r="47" spans="1:5" ht="22.5" customHeight="1" x14ac:dyDescent="0.2">
      <c r="A47" s="4">
        <v>10.3</v>
      </c>
      <c r="B47" s="5" t="s">
        <v>144</v>
      </c>
      <c r="C47" s="5" t="s">
        <v>145</v>
      </c>
      <c r="D47" s="7" t="s">
        <v>35</v>
      </c>
      <c r="E47" s="6">
        <f t="shared" si="0"/>
        <v>100</v>
      </c>
    </row>
    <row r="48" spans="1:5" ht="22.5" customHeight="1" x14ac:dyDescent="0.2">
      <c r="A48" s="4">
        <v>10.4</v>
      </c>
      <c r="B48" s="5" t="s">
        <v>146</v>
      </c>
      <c r="C48" s="5" t="s">
        <v>147</v>
      </c>
      <c r="D48" s="7" t="s">
        <v>35</v>
      </c>
      <c r="E48" s="6">
        <f t="shared" si="0"/>
        <v>100</v>
      </c>
    </row>
    <row r="49" spans="1:5" ht="22.5" customHeight="1" x14ac:dyDescent="0.2">
      <c r="A49" s="4">
        <v>10.5</v>
      </c>
      <c r="B49" s="5" t="s">
        <v>148</v>
      </c>
      <c r="C49" s="5" t="s">
        <v>149</v>
      </c>
      <c r="D49" s="7" t="s">
        <v>35</v>
      </c>
      <c r="E49" s="6">
        <f t="shared" si="0"/>
        <v>100</v>
      </c>
    </row>
    <row r="50" spans="1:5" ht="22.5" customHeight="1" x14ac:dyDescent="0.2">
      <c r="A50" s="4">
        <v>10.6</v>
      </c>
      <c r="B50" s="5" t="s">
        <v>150</v>
      </c>
      <c r="C50" s="5" t="s">
        <v>151</v>
      </c>
      <c r="D50" s="7" t="s">
        <v>35</v>
      </c>
      <c r="E50" s="6">
        <f t="shared" si="0"/>
        <v>100</v>
      </c>
    </row>
    <row r="51" spans="1:5" ht="22.5" customHeight="1" x14ac:dyDescent="0.2">
      <c r="A51" s="4">
        <v>10.7</v>
      </c>
      <c r="B51" s="5" t="s">
        <v>152</v>
      </c>
      <c r="C51" s="5" t="s">
        <v>153</v>
      </c>
      <c r="D51" s="7" t="s">
        <v>27</v>
      </c>
      <c r="E51" s="6">
        <f t="shared" si="0"/>
        <v>16</v>
      </c>
    </row>
    <row r="52" spans="1:5" ht="22.5" customHeight="1" x14ac:dyDescent="0.2">
      <c r="A52" s="4">
        <v>10.8</v>
      </c>
      <c r="B52" s="5" t="s">
        <v>154</v>
      </c>
      <c r="C52" s="5" t="s">
        <v>155</v>
      </c>
      <c r="D52" s="7" t="s">
        <v>30</v>
      </c>
      <c r="E52" s="6">
        <f t="shared" si="0"/>
        <v>40</v>
      </c>
    </row>
    <row r="53" spans="1:5" ht="22.5" customHeight="1" x14ac:dyDescent="0.2">
      <c r="A53" s="4">
        <v>10.9</v>
      </c>
      <c r="B53" s="5" t="s">
        <v>156</v>
      </c>
      <c r="C53" s="5" t="s">
        <v>157</v>
      </c>
      <c r="D53" s="7" t="s">
        <v>30</v>
      </c>
      <c r="E53" s="6">
        <f t="shared" si="0"/>
        <v>40</v>
      </c>
    </row>
    <row r="54" spans="1:5" ht="22.5" customHeight="1" x14ac:dyDescent="0.2">
      <c r="A54" s="4">
        <v>10.1</v>
      </c>
      <c r="B54" s="5" t="s">
        <v>158</v>
      </c>
      <c r="C54" s="5" t="s">
        <v>159</v>
      </c>
      <c r="D54" s="7" t="s">
        <v>30</v>
      </c>
      <c r="E54" s="6">
        <f t="shared" si="0"/>
        <v>40</v>
      </c>
    </row>
    <row r="55" spans="1:5" ht="22.5" customHeight="1" x14ac:dyDescent="0.2">
      <c r="A55" s="4">
        <v>10.11</v>
      </c>
      <c r="B55" s="5" t="s">
        <v>160</v>
      </c>
      <c r="C55" s="5" t="s">
        <v>161</v>
      </c>
      <c r="D55" s="7" t="s">
        <v>30</v>
      </c>
      <c r="E55" s="6">
        <f t="shared" si="0"/>
        <v>40</v>
      </c>
    </row>
    <row r="56" spans="1:5" ht="22.5" customHeight="1" x14ac:dyDescent="0.2">
      <c r="A56" s="4">
        <v>10.119999999999999</v>
      </c>
      <c r="B56" s="5" t="s">
        <v>162</v>
      </c>
      <c r="C56" s="5" t="s">
        <v>163</v>
      </c>
      <c r="D56" s="7" t="s">
        <v>30</v>
      </c>
      <c r="E56" s="6">
        <f t="shared" si="0"/>
        <v>40</v>
      </c>
    </row>
    <row r="57" spans="1:5" ht="22.5" customHeight="1" x14ac:dyDescent="0.2">
      <c r="A57" s="4">
        <v>10.130000000000001</v>
      </c>
      <c r="B57" s="5" t="s">
        <v>164</v>
      </c>
      <c r="C57" s="5" t="s">
        <v>165</v>
      </c>
      <c r="D57" s="7" t="s">
        <v>27</v>
      </c>
      <c r="E57" s="6">
        <f t="shared" si="0"/>
        <v>16</v>
      </c>
    </row>
    <row r="58" spans="1:5" ht="22.5" customHeight="1" x14ac:dyDescent="0.2">
      <c r="A58" s="4">
        <v>10.14</v>
      </c>
      <c r="B58" s="5" t="s">
        <v>166</v>
      </c>
      <c r="C58" s="5" t="s">
        <v>167</v>
      </c>
      <c r="D58" s="7" t="s">
        <v>30</v>
      </c>
      <c r="E58" s="6">
        <f t="shared" si="0"/>
        <v>40</v>
      </c>
    </row>
    <row r="59" spans="1:5" ht="22.5" customHeight="1" x14ac:dyDescent="0.2">
      <c r="A59" s="4">
        <v>10.15</v>
      </c>
      <c r="B59" s="5" t="s">
        <v>168</v>
      </c>
      <c r="C59" s="5" t="s">
        <v>169</v>
      </c>
      <c r="D59" s="7" t="s">
        <v>30</v>
      </c>
      <c r="E59" s="6">
        <f t="shared" si="0"/>
        <v>40</v>
      </c>
    </row>
    <row r="60" spans="1:5" ht="22.5" customHeight="1" x14ac:dyDescent="0.2">
      <c r="A60" s="4">
        <v>10.16</v>
      </c>
      <c r="B60" s="5" t="s">
        <v>170</v>
      </c>
      <c r="C60" s="5" t="s">
        <v>171</v>
      </c>
      <c r="D60" s="7" t="s">
        <v>30</v>
      </c>
      <c r="E60" s="6">
        <f t="shared" si="0"/>
        <v>40</v>
      </c>
    </row>
    <row r="61" spans="1:5" ht="22.5" customHeight="1" x14ac:dyDescent="0.2">
      <c r="A61" s="4">
        <v>10.17</v>
      </c>
      <c r="B61" s="5" t="s">
        <v>172</v>
      </c>
      <c r="C61" s="5" t="s">
        <v>173</v>
      </c>
      <c r="D61" s="7" t="s">
        <v>30</v>
      </c>
      <c r="E61" s="6">
        <f t="shared" si="0"/>
        <v>40</v>
      </c>
    </row>
    <row r="62" spans="1:5" ht="22.5" customHeight="1" x14ac:dyDescent="0.2">
      <c r="A62" s="4">
        <v>10.18</v>
      </c>
      <c r="B62" s="5" t="s">
        <v>174</v>
      </c>
      <c r="C62" s="5" t="s">
        <v>175</v>
      </c>
      <c r="D62" s="7" t="s">
        <v>30</v>
      </c>
      <c r="E62" s="6">
        <f t="shared" si="0"/>
        <v>40</v>
      </c>
    </row>
    <row r="63" spans="1:5" ht="22.5" customHeight="1" x14ac:dyDescent="0.2">
      <c r="A63" s="4">
        <v>10.19</v>
      </c>
      <c r="B63" s="5" t="s">
        <v>176</v>
      </c>
      <c r="C63" s="5" t="s">
        <v>177</v>
      </c>
      <c r="D63" s="7" t="s">
        <v>27</v>
      </c>
      <c r="E63" s="6">
        <f t="shared" si="0"/>
        <v>16</v>
      </c>
    </row>
    <row r="64" spans="1:5" ht="22.5" customHeight="1" x14ac:dyDescent="0.2">
      <c r="A64" s="4">
        <v>10.199999999999999</v>
      </c>
      <c r="B64" s="5" t="s">
        <v>178</v>
      </c>
      <c r="C64" s="5" t="s">
        <v>179</v>
      </c>
      <c r="D64" s="7" t="s">
        <v>30</v>
      </c>
      <c r="E64" s="6">
        <f t="shared" si="0"/>
        <v>40</v>
      </c>
    </row>
    <row r="65" spans="1:5" ht="22.5" customHeight="1" x14ac:dyDescent="0.2">
      <c r="A65" s="4">
        <v>10.210000000000001</v>
      </c>
      <c r="B65" s="5" t="s">
        <v>180</v>
      </c>
      <c r="C65" s="5" t="s">
        <v>181</v>
      </c>
      <c r="D65" s="7" t="s">
        <v>27</v>
      </c>
      <c r="E65" s="6">
        <f t="shared" si="0"/>
        <v>16</v>
      </c>
    </row>
    <row r="66" spans="1:5" ht="22.5" customHeight="1" x14ac:dyDescent="0.2">
      <c r="A66" s="4">
        <v>10.220000000000001</v>
      </c>
      <c r="B66" s="5" t="s">
        <v>182</v>
      </c>
      <c r="C66" s="5" t="s">
        <v>183</v>
      </c>
      <c r="D66" s="7" t="s">
        <v>27</v>
      </c>
      <c r="E66" s="6">
        <f t="shared" si="0"/>
        <v>16</v>
      </c>
    </row>
    <row r="67" spans="1:5" ht="22.5" customHeight="1" x14ac:dyDescent="0.2">
      <c r="A67" s="4">
        <v>10.23</v>
      </c>
      <c r="B67" s="5" t="s">
        <v>184</v>
      </c>
      <c r="C67" s="5" t="s">
        <v>185</v>
      </c>
      <c r="D67" s="7" t="s">
        <v>30</v>
      </c>
      <c r="E67" s="6">
        <f t="shared" si="0"/>
        <v>40</v>
      </c>
    </row>
    <row r="68" spans="1:5" ht="22.5" customHeight="1" x14ac:dyDescent="0.2">
      <c r="A68" s="4">
        <v>10.24</v>
      </c>
      <c r="B68" s="5" t="s">
        <v>186</v>
      </c>
      <c r="C68" s="5" t="s">
        <v>187</v>
      </c>
      <c r="D68" s="7" t="s">
        <v>30</v>
      </c>
      <c r="E68" s="6">
        <f t="shared" si="0"/>
        <v>40</v>
      </c>
    </row>
    <row r="69" spans="1:5" ht="22.5" customHeight="1" x14ac:dyDescent="0.2">
      <c r="A69" s="4">
        <v>10.25</v>
      </c>
      <c r="B69" s="5" t="s">
        <v>188</v>
      </c>
      <c r="C69" s="5" t="s">
        <v>189</v>
      </c>
      <c r="D69" s="7" t="s">
        <v>30</v>
      </c>
      <c r="E69" s="6">
        <f t="shared" si="0"/>
        <v>40</v>
      </c>
    </row>
    <row r="70" spans="1:5" ht="22.5" customHeight="1" x14ac:dyDescent="0.2">
      <c r="A70" s="4">
        <v>11.1</v>
      </c>
      <c r="B70" s="5" t="s">
        <v>190</v>
      </c>
      <c r="C70" s="5" t="s">
        <v>191</v>
      </c>
      <c r="D70" s="7" t="s">
        <v>27</v>
      </c>
      <c r="E70" s="6">
        <f t="shared" si="0"/>
        <v>16</v>
      </c>
    </row>
    <row r="71" spans="1:5" ht="22.5" customHeight="1" x14ac:dyDescent="0.2">
      <c r="A71" s="4">
        <v>11.2</v>
      </c>
      <c r="B71" s="5" t="s">
        <v>192</v>
      </c>
      <c r="C71" s="5" t="s">
        <v>193</v>
      </c>
      <c r="D71" s="7" t="s">
        <v>30</v>
      </c>
      <c r="E71" s="6">
        <f t="shared" si="0"/>
        <v>40</v>
      </c>
    </row>
    <row r="72" spans="1:5" ht="22.5" customHeight="1" x14ac:dyDescent="0.2">
      <c r="A72" s="4">
        <v>11.3</v>
      </c>
      <c r="B72" s="5" t="s">
        <v>194</v>
      </c>
      <c r="C72" s="5" t="s">
        <v>131</v>
      </c>
      <c r="D72" s="7" t="s">
        <v>27</v>
      </c>
      <c r="E72" s="6">
        <f t="shared" si="0"/>
        <v>16</v>
      </c>
    </row>
    <row r="73" spans="1:5" ht="22.5" customHeight="1" x14ac:dyDescent="0.2">
      <c r="A73" s="4">
        <v>11.4</v>
      </c>
      <c r="B73" s="5" t="s">
        <v>195</v>
      </c>
      <c r="C73" s="5" t="s">
        <v>196</v>
      </c>
      <c r="D73" s="7" t="s">
        <v>27</v>
      </c>
      <c r="E73" s="6">
        <f t="shared" si="0"/>
        <v>16</v>
      </c>
    </row>
    <row r="74" spans="1:5" ht="22.5" customHeight="1" x14ac:dyDescent="0.2">
      <c r="A74" s="4">
        <v>11.5</v>
      </c>
      <c r="B74" s="5" t="s">
        <v>197</v>
      </c>
      <c r="C74" s="5" t="s">
        <v>198</v>
      </c>
      <c r="D74" s="7" t="s">
        <v>30</v>
      </c>
      <c r="E74" s="6">
        <f t="shared" si="0"/>
        <v>40</v>
      </c>
    </row>
    <row r="75" spans="1:5" ht="22.5" customHeight="1" x14ac:dyDescent="0.2">
      <c r="A75" s="4">
        <v>11.6</v>
      </c>
      <c r="B75" s="5" t="s">
        <v>199</v>
      </c>
      <c r="C75" s="5" t="s">
        <v>200</v>
      </c>
      <c r="D75" s="7" t="s">
        <v>30</v>
      </c>
      <c r="E75" s="6">
        <f t="shared" si="0"/>
        <v>40</v>
      </c>
    </row>
    <row r="76" spans="1:5" ht="22.5" customHeight="1" x14ac:dyDescent="0.2">
      <c r="A76" s="4">
        <v>12.1</v>
      </c>
      <c r="B76" s="5" t="s">
        <v>201</v>
      </c>
      <c r="C76" s="5" t="s">
        <v>202</v>
      </c>
      <c r="D76" s="7" t="s">
        <v>27</v>
      </c>
      <c r="E76" s="6">
        <f t="shared" si="0"/>
        <v>16</v>
      </c>
    </row>
    <row r="77" spans="1:5" ht="22.5" customHeight="1" x14ac:dyDescent="0.2">
      <c r="A77" s="4">
        <v>12.2</v>
      </c>
      <c r="B77" s="5" t="s">
        <v>203</v>
      </c>
      <c r="C77" s="5" t="s">
        <v>204</v>
      </c>
      <c r="D77" s="7" t="s">
        <v>30</v>
      </c>
      <c r="E77" s="6">
        <f t="shared" si="0"/>
        <v>40</v>
      </c>
    </row>
    <row r="78" spans="1:5" ht="22.5" customHeight="1" x14ac:dyDescent="0.2">
      <c r="A78" s="4">
        <v>12.3</v>
      </c>
      <c r="B78" s="5" t="s">
        <v>205</v>
      </c>
      <c r="C78" s="5" t="s">
        <v>206</v>
      </c>
      <c r="D78" s="7" t="s">
        <v>30</v>
      </c>
      <c r="E78" s="6">
        <f t="shared" si="0"/>
        <v>40</v>
      </c>
    </row>
    <row r="79" spans="1:5" ht="22.5" customHeight="1" x14ac:dyDescent="0.2">
      <c r="A79" s="4">
        <v>12.4</v>
      </c>
      <c r="B79" s="5" t="s">
        <v>207</v>
      </c>
      <c r="C79" s="5" t="s">
        <v>208</v>
      </c>
      <c r="D79" s="7" t="s">
        <v>30</v>
      </c>
      <c r="E79" s="6">
        <f t="shared" si="0"/>
        <v>40</v>
      </c>
    </row>
    <row r="80" spans="1:5" ht="22.5" customHeight="1" x14ac:dyDescent="0.2">
      <c r="A80" s="4">
        <v>12.5</v>
      </c>
      <c r="B80" s="5" t="s">
        <v>209</v>
      </c>
      <c r="C80" s="5" t="s">
        <v>210</v>
      </c>
      <c r="D80" s="7" t="s">
        <v>27</v>
      </c>
      <c r="E80" s="6">
        <f t="shared" si="0"/>
        <v>16</v>
      </c>
    </row>
    <row r="81" spans="1:5" ht="22.5" customHeight="1" x14ac:dyDescent="0.2">
      <c r="A81" s="4">
        <v>12.6</v>
      </c>
      <c r="B81" s="5" t="s">
        <v>211</v>
      </c>
      <c r="C81" s="5" t="s">
        <v>212</v>
      </c>
      <c r="D81" s="7" t="s">
        <v>27</v>
      </c>
      <c r="E81" s="6">
        <f t="shared" si="0"/>
        <v>16</v>
      </c>
    </row>
    <row r="82" spans="1:5" ht="22.5" customHeight="1" x14ac:dyDescent="0.2">
      <c r="A82" s="4">
        <v>12.7</v>
      </c>
      <c r="B82" s="5" t="s">
        <v>213</v>
      </c>
      <c r="C82" s="5" t="s">
        <v>214</v>
      </c>
      <c r="D82" s="7" t="s">
        <v>27</v>
      </c>
      <c r="E82" s="6">
        <f t="shared" si="0"/>
        <v>16</v>
      </c>
    </row>
    <row r="83" spans="1:5" ht="22.5" customHeight="1" x14ac:dyDescent="0.2">
      <c r="A83" s="4">
        <v>12.8</v>
      </c>
      <c r="B83" s="5" t="s">
        <v>215</v>
      </c>
      <c r="C83" s="5" t="s">
        <v>216</v>
      </c>
      <c r="D83" s="7" t="s">
        <v>27</v>
      </c>
      <c r="E83" s="6">
        <f t="shared" si="0"/>
        <v>16</v>
      </c>
    </row>
    <row r="84" spans="1:5" ht="22.5" customHeight="1" x14ac:dyDescent="0.2">
      <c r="A84" s="4">
        <v>12.9</v>
      </c>
      <c r="B84" s="5" t="s">
        <v>217</v>
      </c>
      <c r="C84" s="5" t="s">
        <v>218</v>
      </c>
      <c r="D84" s="7" t="s">
        <v>30</v>
      </c>
      <c r="E84" s="6">
        <f t="shared" si="0"/>
        <v>40</v>
      </c>
    </row>
    <row r="85" spans="1:5" ht="22.5" customHeight="1" x14ac:dyDescent="0.2">
      <c r="A85" s="4">
        <v>12.1</v>
      </c>
      <c r="B85" s="5" t="s">
        <v>219</v>
      </c>
      <c r="C85" s="5" t="s">
        <v>220</v>
      </c>
      <c r="D85" s="7" t="s">
        <v>27</v>
      </c>
      <c r="E85" s="6">
        <f t="shared" si="0"/>
        <v>16</v>
      </c>
    </row>
    <row r="86" spans="1:5" ht="22.5" customHeight="1" x14ac:dyDescent="0.2">
      <c r="A86" s="4">
        <v>12.11</v>
      </c>
      <c r="B86" s="5" t="s">
        <v>221</v>
      </c>
      <c r="C86" s="5" t="s">
        <v>222</v>
      </c>
      <c r="D86" s="7" t="s">
        <v>27</v>
      </c>
      <c r="E86" s="6">
        <f t="shared" si="0"/>
        <v>16</v>
      </c>
    </row>
    <row r="87" spans="1:5" ht="22.5" customHeight="1" x14ac:dyDescent="0.2">
      <c r="A87" s="4">
        <v>12.12</v>
      </c>
      <c r="B87" s="5" t="s">
        <v>223</v>
      </c>
      <c r="C87" s="5" t="s">
        <v>224</v>
      </c>
      <c r="D87" s="7" t="s">
        <v>27</v>
      </c>
      <c r="E87" s="6">
        <f t="shared" si="0"/>
        <v>16</v>
      </c>
    </row>
    <row r="88" spans="1:5" ht="22.5" customHeight="1" x14ac:dyDescent="0.2">
      <c r="A88" s="4">
        <v>12.13</v>
      </c>
      <c r="B88" s="5" t="s">
        <v>225</v>
      </c>
      <c r="C88" s="5" t="s">
        <v>226</v>
      </c>
      <c r="D88" s="7" t="s">
        <v>30</v>
      </c>
      <c r="E88" s="6">
        <f t="shared" si="0"/>
        <v>40</v>
      </c>
    </row>
    <row r="89" spans="1:5" ht="22.5" customHeight="1" x14ac:dyDescent="0.2">
      <c r="A89" s="4">
        <v>12.14</v>
      </c>
      <c r="B89" s="5" t="s">
        <v>227</v>
      </c>
      <c r="C89" s="5" t="s">
        <v>228</v>
      </c>
      <c r="D89" s="7" t="s">
        <v>30</v>
      </c>
      <c r="E89" s="6">
        <f t="shared" si="0"/>
        <v>40</v>
      </c>
    </row>
    <row r="90" spans="1:5" ht="22.5" customHeight="1" x14ac:dyDescent="0.2">
      <c r="A90" s="4">
        <v>12.15</v>
      </c>
      <c r="B90" s="5" t="s">
        <v>229</v>
      </c>
      <c r="C90" s="5" t="s">
        <v>230</v>
      </c>
      <c r="D90" s="7" t="s">
        <v>30</v>
      </c>
      <c r="E90" s="6">
        <f t="shared" si="0"/>
        <v>40</v>
      </c>
    </row>
    <row r="91" spans="1:5" ht="22.5" customHeight="1" x14ac:dyDescent="0.2">
      <c r="A91" s="4">
        <v>12.16</v>
      </c>
      <c r="B91" s="5" t="s">
        <v>231</v>
      </c>
      <c r="C91" s="5" t="s">
        <v>232</v>
      </c>
      <c r="D91" s="7" t="s">
        <v>30</v>
      </c>
      <c r="E91" s="6">
        <f t="shared" si="0"/>
        <v>40</v>
      </c>
    </row>
    <row r="92" spans="1:5" ht="22.5" customHeight="1" x14ac:dyDescent="0.2">
      <c r="A92" s="4">
        <v>12.17</v>
      </c>
      <c r="B92" s="5" t="s">
        <v>233</v>
      </c>
      <c r="C92" s="5" t="s">
        <v>234</v>
      </c>
      <c r="D92" s="7" t="s">
        <v>30</v>
      </c>
      <c r="E92" s="6">
        <f t="shared" si="0"/>
        <v>40</v>
      </c>
    </row>
    <row r="93" spans="1:5" ht="22.5" customHeight="1" x14ac:dyDescent="0.2">
      <c r="A93" s="4">
        <v>12.18</v>
      </c>
      <c r="B93" s="5" t="s">
        <v>235</v>
      </c>
      <c r="C93" s="5" t="s">
        <v>236</v>
      </c>
      <c r="D93" s="7" t="s">
        <v>35</v>
      </c>
      <c r="E93" s="6">
        <f t="shared" si="0"/>
        <v>100</v>
      </c>
    </row>
    <row r="94" spans="1:5" ht="22.5" customHeight="1" x14ac:dyDescent="0.2">
      <c r="A94" s="4">
        <v>12.19</v>
      </c>
      <c r="B94" s="5" t="s">
        <v>237</v>
      </c>
      <c r="C94" s="5" t="s">
        <v>238</v>
      </c>
      <c r="D94" s="7" t="s">
        <v>27</v>
      </c>
      <c r="E94" s="6">
        <f t="shared" si="0"/>
        <v>16</v>
      </c>
    </row>
    <row r="95" spans="1:5" ht="22.5" customHeight="1" x14ac:dyDescent="0.2">
      <c r="A95" s="4">
        <v>12.2</v>
      </c>
      <c r="B95" s="5" t="s">
        <v>239</v>
      </c>
      <c r="C95" s="5" t="s">
        <v>240</v>
      </c>
      <c r="D95" s="7" t="s">
        <v>30</v>
      </c>
      <c r="E95" s="6">
        <f t="shared" si="0"/>
        <v>40</v>
      </c>
    </row>
    <row r="96" spans="1:5" ht="22.5" customHeight="1" x14ac:dyDescent="0.2">
      <c r="A96" s="4">
        <v>12.21</v>
      </c>
      <c r="B96" s="5" t="s">
        <v>241</v>
      </c>
      <c r="C96" s="5" t="s">
        <v>242</v>
      </c>
      <c r="D96" s="7" t="s">
        <v>27</v>
      </c>
      <c r="E96" s="6">
        <f t="shared" si="0"/>
        <v>16</v>
      </c>
    </row>
    <row r="97" spans="1:5" ht="22.5" customHeight="1" x14ac:dyDescent="0.2">
      <c r="A97" s="4">
        <v>12.22</v>
      </c>
      <c r="B97" s="5" t="s">
        <v>243</v>
      </c>
      <c r="C97" s="5" t="s">
        <v>244</v>
      </c>
      <c r="D97" s="7" t="s">
        <v>30</v>
      </c>
      <c r="E97" s="6">
        <f t="shared" si="0"/>
        <v>40</v>
      </c>
    </row>
    <row r="98" spans="1:5" ht="22.5" customHeight="1" x14ac:dyDescent="0.2">
      <c r="A98" s="4">
        <v>12.23</v>
      </c>
      <c r="B98" s="5" t="s">
        <v>245</v>
      </c>
      <c r="C98" s="5" t="s">
        <v>246</v>
      </c>
      <c r="D98" s="7" t="s">
        <v>30</v>
      </c>
      <c r="E98" s="6">
        <f t="shared" si="0"/>
        <v>40</v>
      </c>
    </row>
    <row r="99" spans="1:5" ht="22.5" customHeight="1" x14ac:dyDescent="0.2">
      <c r="A99" s="4">
        <v>12.24</v>
      </c>
      <c r="B99" s="5" t="s">
        <v>247</v>
      </c>
      <c r="C99" s="5" t="s">
        <v>248</v>
      </c>
      <c r="D99" s="7" t="s">
        <v>27</v>
      </c>
      <c r="E99" s="6">
        <f t="shared" si="0"/>
        <v>16</v>
      </c>
    </row>
    <row r="100" spans="1:5" ht="22.5" customHeight="1" x14ac:dyDescent="0.2">
      <c r="A100" s="4">
        <v>12.25</v>
      </c>
      <c r="B100" s="5" t="s">
        <v>249</v>
      </c>
      <c r="C100" s="5" t="s">
        <v>250</v>
      </c>
      <c r="D100" s="7" t="s">
        <v>27</v>
      </c>
      <c r="E100" s="6">
        <f t="shared" si="0"/>
        <v>16</v>
      </c>
    </row>
    <row r="101" spans="1:5" ht="22.5" customHeight="1" x14ac:dyDescent="0.2">
      <c r="A101" s="4">
        <v>12.26</v>
      </c>
      <c r="B101" s="5" t="s">
        <v>251</v>
      </c>
      <c r="C101" s="5" t="s">
        <v>252</v>
      </c>
      <c r="D101" s="7" t="s">
        <v>30</v>
      </c>
      <c r="E101" s="6">
        <f t="shared" si="0"/>
        <v>40</v>
      </c>
    </row>
    <row r="102" spans="1:5" ht="22.5" customHeight="1" x14ac:dyDescent="0.2">
      <c r="A102" s="4">
        <v>12.27</v>
      </c>
      <c r="B102" s="5" t="s">
        <v>253</v>
      </c>
      <c r="C102" s="5" t="s">
        <v>254</v>
      </c>
      <c r="D102" s="7" t="s">
        <v>27</v>
      </c>
      <c r="E102" s="6">
        <f t="shared" si="0"/>
        <v>16</v>
      </c>
    </row>
    <row r="103" spans="1:5" ht="22.5" customHeight="1" x14ac:dyDescent="0.2">
      <c r="A103" s="4">
        <v>12.28</v>
      </c>
      <c r="B103" s="5" t="s">
        <v>255</v>
      </c>
      <c r="C103" s="5" t="s">
        <v>256</v>
      </c>
      <c r="D103" s="7" t="s">
        <v>27</v>
      </c>
      <c r="E103" s="6">
        <f t="shared" si="0"/>
        <v>16</v>
      </c>
    </row>
    <row r="104" spans="1:5" ht="22.5" customHeight="1" x14ac:dyDescent="0.2">
      <c r="A104" s="4">
        <v>12.29</v>
      </c>
      <c r="B104" s="5" t="s">
        <v>257</v>
      </c>
      <c r="C104" s="5" t="s">
        <v>258</v>
      </c>
      <c r="D104" s="7" t="s">
        <v>27</v>
      </c>
      <c r="E104" s="6">
        <f t="shared" si="0"/>
        <v>16</v>
      </c>
    </row>
    <row r="105" spans="1:5" ht="22.5" customHeight="1" x14ac:dyDescent="0.2">
      <c r="A105" s="4">
        <v>12.3</v>
      </c>
      <c r="B105" s="5" t="s">
        <v>259</v>
      </c>
      <c r="C105" s="5" t="s">
        <v>260</v>
      </c>
      <c r="D105" s="7" t="s">
        <v>30</v>
      </c>
      <c r="E105" s="6">
        <f t="shared" si="0"/>
        <v>40</v>
      </c>
    </row>
    <row r="106" spans="1:5" ht="22.5" customHeight="1" x14ac:dyDescent="0.2">
      <c r="A106" s="4">
        <v>12.31</v>
      </c>
      <c r="B106" s="5" t="s">
        <v>261</v>
      </c>
      <c r="C106" s="5" t="s">
        <v>262</v>
      </c>
      <c r="D106" s="7" t="s">
        <v>30</v>
      </c>
      <c r="E106" s="6">
        <f t="shared" si="0"/>
        <v>40</v>
      </c>
    </row>
    <row r="107" spans="1:5" ht="22.5" customHeight="1" x14ac:dyDescent="0.2">
      <c r="A107" s="4">
        <v>12.32</v>
      </c>
      <c r="B107" s="5" t="s">
        <v>263</v>
      </c>
      <c r="C107" s="5" t="s">
        <v>264</v>
      </c>
      <c r="D107" s="7" t="s">
        <v>27</v>
      </c>
      <c r="E107" s="6">
        <f t="shared" si="0"/>
        <v>16</v>
      </c>
    </row>
    <row r="108" spans="1:5" ht="22.5" customHeight="1" x14ac:dyDescent="0.2">
      <c r="A108" s="4">
        <v>12.33</v>
      </c>
      <c r="B108" s="5" t="s">
        <v>265</v>
      </c>
      <c r="C108" s="5" t="s">
        <v>266</v>
      </c>
      <c r="D108" s="7" t="s">
        <v>27</v>
      </c>
      <c r="E108" s="6">
        <f t="shared" si="0"/>
        <v>16</v>
      </c>
    </row>
    <row r="109" spans="1:5" ht="22.5" customHeight="1" x14ac:dyDescent="0.2">
      <c r="A109" s="4">
        <v>12.34</v>
      </c>
      <c r="B109" s="5" t="s">
        <v>267</v>
      </c>
      <c r="C109" s="5" t="s">
        <v>268</v>
      </c>
      <c r="D109" s="7" t="s">
        <v>30</v>
      </c>
      <c r="E109" s="6">
        <f t="shared" si="0"/>
        <v>40</v>
      </c>
    </row>
    <row r="110" spans="1:5" ht="22.5" customHeight="1" x14ac:dyDescent="0.2">
      <c r="A110" s="4">
        <v>13.1</v>
      </c>
      <c r="B110" s="5" t="s">
        <v>269</v>
      </c>
      <c r="C110" s="5" t="s">
        <v>270</v>
      </c>
      <c r="D110" s="7" t="s">
        <v>30</v>
      </c>
      <c r="E110" s="6">
        <f t="shared" si="0"/>
        <v>40</v>
      </c>
    </row>
    <row r="111" spans="1:5" ht="22.5" customHeight="1" x14ac:dyDescent="0.2">
      <c r="A111" s="4">
        <v>13.2</v>
      </c>
      <c r="B111" s="5" t="s">
        <v>271</v>
      </c>
      <c r="C111" s="5" t="s">
        <v>272</v>
      </c>
      <c r="D111" s="7" t="s">
        <v>30</v>
      </c>
      <c r="E111" s="6">
        <f t="shared" si="0"/>
        <v>40</v>
      </c>
    </row>
    <row r="112" spans="1:5" ht="22.5" customHeight="1" x14ac:dyDescent="0.2">
      <c r="A112" s="4">
        <v>13.3</v>
      </c>
      <c r="B112" s="5" t="s">
        <v>273</v>
      </c>
      <c r="C112" s="5" t="s">
        <v>274</v>
      </c>
      <c r="D112" s="7" t="s">
        <v>30</v>
      </c>
      <c r="E112" s="6">
        <f t="shared" si="0"/>
        <v>40</v>
      </c>
    </row>
    <row r="113" spans="1:5" ht="22.5" customHeight="1" x14ac:dyDescent="0.2">
      <c r="A113" s="4">
        <v>13.4</v>
      </c>
      <c r="B113" s="5" t="s">
        <v>275</v>
      </c>
      <c r="C113" s="5" t="s">
        <v>276</v>
      </c>
      <c r="D113" s="7" t="s">
        <v>30</v>
      </c>
      <c r="E113" s="6">
        <f t="shared" si="0"/>
        <v>40</v>
      </c>
    </row>
    <row r="114" spans="1:5" ht="22.5" customHeight="1" x14ac:dyDescent="0.2">
      <c r="A114" s="4">
        <v>13.5</v>
      </c>
      <c r="B114" s="5" t="s">
        <v>277</v>
      </c>
      <c r="C114" s="5" t="s">
        <v>278</v>
      </c>
      <c r="D114" s="7" t="s">
        <v>30</v>
      </c>
      <c r="E114" s="6">
        <f t="shared" si="0"/>
        <v>40</v>
      </c>
    </row>
    <row r="115" spans="1:5" ht="22.5" customHeight="1" x14ac:dyDescent="0.2">
      <c r="A115" s="4">
        <v>13.6</v>
      </c>
      <c r="B115" s="5" t="s">
        <v>279</v>
      </c>
      <c r="C115" s="5" t="s">
        <v>280</v>
      </c>
      <c r="D115" s="7" t="s">
        <v>27</v>
      </c>
      <c r="E115" s="6">
        <f t="shared" si="0"/>
        <v>16</v>
      </c>
    </row>
    <row r="116" spans="1:5" ht="22.5" customHeight="1" x14ac:dyDescent="0.2">
      <c r="A116" s="4">
        <v>13.7</v>
      </c>
      <c r="B116" s="5" t="s">
        <v>44</v>
      </c>
      <c r="C116" s="5" t="s">
        <v>45</v>
      </c>
      <c r="D116" s="7" t="s">
        <v>35</v>
      </c>
      <c r="E116" s="6">
        <f t="shared" si="0"/>
        <v>100</v>
      </c>
    </row>
    <row r="117" spans="1:5" ht="22.5" customHeight="1" x14ac:dyDescent="0.2">
      <c r="A117" s="4">
        <v>13.8</v>
      </c>
      <c r="B117" s="5" t="s">
        <v>281</v>
      </c>
      <c r="C117" s="5" t="s">
        <v>282</v>
      </c>
      <c r="D117" s="7" t="s">
        <v>27</v>
      </c>
      <c r="E117" s="6">
        <f t="shared" si="0"/>
        <v>16</v>
      </c>
    </row>
    <row r="118" spans="1:5" ht="22.5" customHeight="1" x14ac:dyDescent="0.2">
      <c r="A118" s="4">
        <v>13.9</v>
      </c>
      <c r="B118" s="5" t="s">
        <v>48</v>
      </c>
      <c r="C118" s="5" t="s">
        <v>49</v>
      </c>
      <c r="D118" s="7" t="s">
        <v>35</v>
      </c>
      <c r="E118" s="6">
        <f t="shared" si="0"/>
        <v>100</v>
      </c>
    </row>
    <row r="119" spans="1:5" ht="22.5" customHeight="1" x14ac:dyDescent="0.2">
      <c r="A119" s="4">
        <v>13.1</v>
      </c>
      <c r="B119" s="5" t="s">
        <v>283</v>
      </c>
      <c r="C119" s="5" t="s">
        <v>284</v>
      </c>
      <c r="D119" s="7" t="s">
        <v>27</v>
      </c>
      <c r="E119" s="6">
        <f t="shared" si="0"/>
        <v>16</v>
      </c>
    </row>
    <row r="120" spans="1:5" ht="22.5" customHeight="1" x14ac:dyDescent="0.2">
      <c r="A120" s="4">
        <v>13.11</v>
      </c>
      <c r="B120" s="5" t="s">
        <v>285</v>
      </c>
      <c r="C120" s="5" t="s">
        <v>286</v>
      </c>
      <c r="D120" s="7" t="s">
        <v>30</v>
      </c>
      <c r="E120" s="6">
        <f t="shared" si="0"/>
        <v>40</v>
      </c>
    </row>
    <row r="121" spans="1:5" ht="22.5" customHeight="1" x14ac:dyDescent="0.2">
      <c r="A121" s="4">
        <v>13.12</v>
      </c>
      <c r="B121" s="5" t="s">
        <v>287</v>
      </c>
      <c r="C121" s="5" t="s">
        <v>288</v>
      </c>
      <c r="D121" s="7" t="s">
        <v>30</v>
      </c>
      <c r="E121" s="6">
        <f t="shared" si="0"/>
        <v>40</v>
      </c>
    </row>
    <row r="122" spans="1:5" ht="22.5" customHeight="1" x14ac:dyDescent="0.2">
      <c r="A122" s="4">
        <v>13.13</v>
      </c>
      <c r="B122" s="5" t="s">
        <v>289</v>
      </c>
      <c r="C122" s="5" t="s">
        <v>290</v>
      </c>
      <c r="D122" s="7" t="s">
        <v>30</v>
      </c>
      <c r="E122" s="6">
        <f t="shared" si="0"/>
        <v>40</v>
      </c>
    </row>
    <row r="123" spans="1:5" ht="22.5" customHeight="1" x14ac:dyDescent="0.2">
      <c r="A123" s="4">
        <v>13.14</v>
      </c>
      <c r="B123" s="5" t="s">
        <v>291</v>
      </c>
      <c r="C123" s="5" t="s">
        <v>292</v>
      </c>
      <c r="D123" s="7" t="s">
        <v>30</v>
      </c>
      <c r="E123" s="6">
        <f t="shared" si="0"/>
        <v>40</v>
      </c>
    </row>
    <row r="124" spans="1:5" ht="22.5" customHeight="1" x14ac:dyDescent="0.2">
      <c r="A124" s="4">
        <v>13.15</v>
      </c>
      <c r="B124" s="5" t="s">
        <v>293</v>
      </c>
      <c r="C124" s="5" t="s">
        <v>294</v>
      </c>
      <c r="D124" s="7" t="s">
        <v>30</v>
      </c>
      <c r="E124" s="6">
        <f t="shared" si="0"/>
        <v>40</v>
      </c>
    </row>
    <row r="125" spans="1:5" ht="22.5" customHeight="1" x14ac:dyDescent="0.2">
      <c r="A125" s="4">
        <v>13.16</v>
      </c>
      <c r="B125" s="5" t="s">
        <v>295</v>
      </c>
      <c r="C125" s="5" t="s">
        <v>296</v>
      </c>
      <c r="D125" s="7" t="s">
        <v>35</v>
      </c>
      <c r="E125" s="6">
        <f t="shared" si="0"/>
        <v>100</v>
      </c>
    </row>
    <row r="126" spans="1:5" ht="22.5" customHeight="1" x14ac:dyDescent="0.2">
      <c r="A126" s="4">
        <v>13.17</v>
      </c>
      <c r="B126" s="5" t="s">
        <v>297</v>
      </c>
      <c r="C126" s="5" t="s">
        <v>298</v>
      </c>
      <c r="D126" s="7" t="s">
        <v>30</v>
      </c>
      <c r="E126" s="6">
        <f t="shared" si="0"/>
        <v>40</v>
      </c>
    </row>
    <row r="127" spans="1:5" ht="22.5" customHeight="1" x14ac:dyDescent="0.2">
      <c r="A127" s="4">
        <v>13.18</v>
      </c>
      <c r="B127" s="5" t="s">
        <v>299</v>
      </c>
      <c r="C127" s="5" t="s">
        <v>300</v>
      </c>
      <c r="D127" s="7" t="s">
        <v>35</v>
      </c>
      <c r="E127" s="6">
        <f t="shared" si="0"/>
        <v>100</v>
      </c>
    </row>
    <row r="128" spans="1:5" ht="22.5" customHeight="1" x14ac:dyDescent="0.2">
      <c r="A128" s="4">
        <v>13.19</v>
      </c>
      <c r="B128" s="5" t="s">
        <v>301</v>
      </c>
      <c r="C128" s="5" t="s">
        <v>302</v>
      </c>
      <c r="D128" s="7" t="s">
        <v>30</v>
      </c>
      <c r="E128" s="6">
        <f t="shared" si="0"/>
        <v>40</v>
      </c>
    </row>
    <row r="129" spans="1:5" ht="22.5" customHeight="1" x14ac:dyDescent="0.2">
      <c r="A129" s="4">
        <v>13.2</v>
      </c>
      <c r="B129" s="5" t="s">
        <v>303</v>
      </c>
      <c r="C129" s="5" t="s">
        <v>304</v>
      </c>
      <c r="D129" s="7" t="s">
        <v>27</v>
      </c>
      <c r="E129" s="6">
        <f t="shared" si="0"/>
        <v>16</v>
      </c>
    </row>
    <row r="130" spans="1:5" ht="22.5" customHeight="1" x14ac:dyDescent="0.2">
      <c r="A130" s="4">
        <v>13.21</v>
      </c>
      <c r="B130" s="5" t="s">
        <v>305</v>
      </c>
      <c r="C130" s="5" t="s">
        <v>306</v>
      </c>
      <c r="D130" s="7" t="s">
        <v>27</v>
      </c>
      <c r="E130" s="6">
        <f t="shared" si="0"/>
        <v>16</v>
      </c>
    </row>
    <row r="131" spans="1:5" ht="22.5" customHeight="1" x14ac:dyDescent="0.2">
      <c r="A131" s="4">
        <v>13.22</v>
      </c>
      <c r="B131" s="5" t="s">
        <v>307</v>
      </c>
      <c r="C131" s="5" t="s">
        <v>308</v>
      </c>
      <c r="D131" s="7" t="s">
        <v>30</v>
      </c>
      <c r="E131" s="6">
        <f t="shared" si="0"/>
        <v>40</v>
      </c>
    </row>
    <row r="132" spans="1:5" ht="22.5" customHeight="1" x14ac:dyDescent="0.2">
      <c r="A132" s="4">
        <v>13.23</v>
      </c>
      <c r="B132" s="5" t="s">
        <v>309</v>
      </c>
      <c r="C132" s="5" t="s">
        <v>310</v>
      </c>
      <c r="D132" s="7" t="s">
        <v>27</v>
      </c>
      <c r="E132" s="6">
        <f t="shared" si="0"/>
        <v>16</v>
      </c>
    </row>
    <row r="133" spans="1:5" ht="22.5" customHeight="1" x14ac:dyDescent="0.2">
      <c r="A133" s="4">
        <v>13.24</v>
      </c>
      <c r="B133" s="5" t="s">
        <v>311</v>
      </c>
      <c r="C133" s="5" t="s">
        <v>312</v>
      </c>
      <c r="D133" s="7" t="s">
        <v>30</v>
      </c>
      <c r="E133" s="6">
        <f t="shared" si="0"/>
        <v>40</v>
      </c>
    </row>
    <row r="134" spans="1:5" ht="22.5" customHeight="1" x14ac:dyDescent="0.2">
      <c r="A134" s="4">
        <v>13.25</v>
      </c>
      <c r="B134" s="5" t="s">
        <v>313</v>
      </c>
      <c r="C134" s="5" t="s">
        <v>314</v>
      </c>
      <c r="D134" s="7" t="s">
        <v>30</v>
      </c>
      <c r="E134" s="6">
        <f t="shared" si="0"/>
        <v>40</v>
      </c>
    </row>
    <row r="135" spans="1:5" ht="22.5" customHeight="1" x14ac:dyDescent="0.2">
      <c r="A135" s="4">
        <v>13.26</v>
      </c>
      <c r="B135" s="5" t="s">
        <v>315</v>
      </c>
      <c r="C135" s="5" t="s">
        <v>316</v>
      </c>
      <c r="D135" s="7" t="s">
        <v>27</v>
      </c>
      <c r="E135" s="6">
        <f t="shared" si="0"/>
        <v>16</v>
      </c>
    </row>
    <row r="136" spans="1:5" ht="22.5" customHeight="1" x14ac:dyDescent="0.2">
      <c r="A136" s="4">
        <v>13.27</v>
      </c>
      <c r="B136" s="5" t="s">
        <v>317</v>
      </c>
      <c r="C136" s="5" t="s">
        <v>318</v>
      </c>
      <c r="D136" s="7" t="s">
        <v>27</v>
      </c>
      <c r="E136" s="6">
        <f t="shared" si="0"/>
        <v>16</v>
      </c>
    </row>
    <row r="137" spans="1:5" ht="22.5" customHeight="1" x14ac:dyDescent="0.2">
      <c r="A137" s="4">
        <v>13.28</v>
      </c>
      <c r="B137" s="5" t="s">
        <v>319</v>
      </c>
      <c r="C137" s="5" t="s">
        <v>320</v>
      </c>
      <c r="D137" s="7" t="s">
        <v>30</v>
      </c>
      <c r="E137" s="6">
        <f t="shared" si="0"/>
        <v>40</v>
      </c>
    </row>
    <row r="138" spans="1:5" ht="22.5" customHeight="1" x14ac:dyDescent="0.2">
      <c r="A138" s="4">
        <v>13.29</v>
      </c>
      <c r="B138" s="5" t="s">
        <v>321</v>
      </c>
      <c r="C138" s="5" t="s">
        <v>322</v>
      </c>
      <c r="D138" s="7" t="s">
        <v>27</v>
      </c>
      <c r="E138" s="6">
        <f t="shared" si="0"/>
        <v>16</v>
      </c>
    </row>
    <row r="139" spans="1:5" ht="22.5" customHeight="1" x14ac:dyDescent="0.2">
      <c r="A139" s="4">
        <v>13.3</v>
      </c>
      <c r="B139" s="5" t="s">
        <v>323</v>
      </c>
      <c r="C139" s="5" t="s">
        <v>324</v>
      </c>
      <c r="D139" s="7" t="s">
        <v>30</v>
      </c>
      <c r="E139" s="6">
        <f t="shared" si="0"/>
        <v>40</v>
      </c>
    </row>
    <row r="140" spans="1:5" ht="22.5" customHeight="1" x14ac:dyDescent="0.2">
      <c r="A140" s="4">
        <v>13.31</v>
      </c>
      <c r="B140" s="5" t="s">
        <v>325</v>
      </c>
      <c r="C140" s="5" t="s">
        <v>326</v>
      </c>
      <c r="D140" s="7" t="s">
        <v>35</v>
      </c>
      <c r="E140" s="6">
        <f t="shared" si="0"/>
        <v>100</v>
      </c>
    </row>
    <row r="141" spans="1:5" ht="22.5" customHeight="1" x14ac:dyDescent="0.2">
      <c r="A141" s="4">
        <v>13.32</v>
      </c>
      <c r="B141" s="5" t="s">
        <v>327</v>
      </c>
      <c r="C141" s="5" t="s">
        <v>328</v>
      </c>
      <c r="D141" s="7" t="s">
        <v>30</v>
      </c>
      <c r="E141" s="6">
        <f t="shared" si="0"/>
        <v>40</v>
      </c>
    </row>
    <row r="142" spans="1:5" ht="22.5" customHeight="1" x14ac:dyDescent="0.2">
      <c r="A142" s="4">
        <v>13.33</v>
      </c>
      <c r="B142" s="5" t="s">
        <v>329</v>
      </c>
      <c r="C142" s="5" t="s">
        <v>330</v>
      </c>
      <c r="D142" s="7" t="s">
        <v>30</v>
      </c>
      <c r="E142" s="6">
        <f t="shared" si="0"/>
        <v>40</v>
      </c>
    </row>
    <row r="143" spans="1:5" ht="22.5" customHeight="1" x14ac:dyDescent="0.2">
      <c r="A143" s="4">
        <v>14.1</v>
      </c>
      <c r="B143" s="5" t="s">
        <v>331</v>
      </c>
      <c r="C143" s="5" t="s">
        <v>332</v>
      </c>
      <c r="D143" s="7" t="s">
        <v>30</v>
      </c>
      <c r="E143" s="6">
        <f t="shared" si="0"/>
        <v>40</v>
      </c>
    </row>
    <row r="144" spans="1:5" ht="22.5" customHeight="1" x14ac:dyDescent="0.2">
      <c r="A144" s="4">
        <v>14.2</v>
      </c>
      <c r="B144" s="5" t="s">
        <v>52</v>
      </c>
      <c r="C144" s="5" t="s">
        <v>53</v>
      </c>
      <c r="D144" s="7" t="s">
        <v>27</v>
      </c>
      <c r="E144" s="6">
        <f t="shared" si="0"/>
        <v>16</v>
      </c>
    </row>
    <row r="145" spans="1:5" ht="22.5" customHeight="1" x14ac:dyDescent="0.2">
      <c r="A145" s="4">
        <v>14.3</v>
      </c>
      <c r="B145" s="5" t="s">
        <v>333</v>
      </c>
      <c r="C145" s="5" t="s">
        <v>334</v>
      </c>
      <c r="D145" s="7" t="s">
        <v>27</v>
      </c>
      <c r="E145" s="6">
        <f t="shared" si="0"/>
        <v>16</v>
      </c>
    </row>
    <row r="146" spans="1:5" ht="22.5" customHeight="1" x14ac:dyDescent="0.2">
      <c r="A146" s="4">
        <v>15.1</v>
      </c>
      <c r="B146" s="5" t="s">
        <v>335</v>
      </c>
      <c r="C146" s="5" t="s">
        <v>336</v>
      </c>
      <c r="D146" s="7" t="s">
        <v>27</v>
      </c>
      <c r="E146" s="6">
        <f t="shared" si="0"/>
        <v>16</v>
      </c>
    </row>
    <row r="147" spans="1:5" ht="22.5" customHeight="1" x14ac:dyDescent="0.2">
      <c r="A147" s="4">
        <v>15.2</v>
      </c>
      <c r="B147" s="5" t="s">
        <v>337</v>
      </c>
      <c r="C147" s="5" t="s">
        <v>338</v>
      </c>
      <c r="D147" s="7" t="s">
        <v>27</v>
      </c>
      <c r="E147" s="6">
        <f t="shared" si="0"/>
        <v>16</v>
      </c>
    </row>
    <row r="148" spans="1:5" ht="22.5" customHeight="1" x14ac:dyDescent="0.2">
      <c r="A148" s="4" t="s">
        <v>54</v>
      </c>
      <c r="B148" s="5" t="s">
        <v>55</v>
      </c>
      <c r="C148" s="5" t="s">
        <v>56</v>
      </c>
      <c r="D148" s="7" t="s">
        <v>35</v>
      </c>
      <c r="E148" s="6">
        <f t="shared" si="0"/>
        <v>100</v>
      </c>
    </row>
    <row r="149" spans="1:5" ht="22.5" customHeight="1" x14ac:dyDescent="0.2">
      <c r="A149" s="4" t="s">
        <v>339</v>
      </c>
      <c r="B149" s="5" t="s">
        <v>340</v>
      </c>
      <c r="C149" s="5" t="s">
        <v>341</v>
      </c>
      <c r="D149" s="7" t="s">
        <v>35</v>
      </c>
      <c r="E149" s="6">
        <f t="shared" si="0"/>
        <v>100</v>
      </c>
    </row>
    <row r="150" spans="1:5" ht="22.5" customHeight="1" x14ac:dyDescent="0.2">
      <c r="A150" s="4" t="s">
        <v>342</v>
      </c>
      <c r="B150" s="5" t="s">
        <v>343</v>
      </c>
      <c r="C150" s="5" t="s">
        <v>344</v>
      </c>
      <c r="D150" s="7" t="s">
        <v>27</v>
      </c>
      <c r="E150" s="6">
        <f t="shared" si="0"/>
        <v>16</v>
      </c>
    </row>
    <row r="151" spans="1:5" ht="22.5" customHeight="1" x14ac:dyDescent="0.2">
      <c r="A151" s="4" t="s">
        <v>59</v>
      </c>
      <c r="B151" s="5" t="s">
        <v>60</v>
      </c>
      <c r="C151" s="5" t="s">
        <v>61</v>
      </c>
      <c r="D151" s="7" t="s">
        <v>30</v>
      </c>
      <c r="E151" s="6">
        <f t="shared" si="0"/>
        <v>40</v>
      </c>
    </row>
    <row r="152" spans="1:5" ht="22.5" customHeight="1" x14ac:dyDescent="0.2">
      <c r="A152" s="4" t="s">
        <v>64</v>
      </c>
      <c r="B152" s="5" t="s">
        <v>65</v>
      </c>
      <c r="C152" s="5" t="s">
        <v>66</v>
      </c>
      <c r="D152" s="7" t="s">
        <v>35</v>
      </c>
      <c r="E152" s="6">
        <f t="shared" si="0"/>
        <v>100</v>
      </c>
    </row>
    <row r="153" spans="1:5" ht="22.5" customHeight="1" x14ac:dyDescent="0.2">
      <c r="A153" s="4" t="s">
        <v>69</v>
      </c>
      <c r="B153" s="5" t="s">
        <v>70</v>
      </c>
      <c r="C153" s="5" t="s">
        <v>71</v>
      </c>
      <c r="D153" s="7" t="s">
        <v>35</v>
      </c>
      <c r="E153" s="6">
        <f t="shared" si="0"/>
        <v>100</v>
      </c>
    </row>
    <row r="154" spans="1:5" ht="22.5" customHeight="1" x14ac:dyDescent="0.2">
      <c r="A154" s="4" t="s">
        <v>74</v>
      </c>
      <c r="B154" s="5" t="s">
        <v>75</v>
      </c>
      <c r="C154" s="5" t="s">
        <v>76</v>
      </c>
      <c r="D154" s="7" t="s">
        <v>30</v>
      </c>
      <c r="E154" s="6">
        <f t="shared" si="0"/>
        <v>40</v>
      </c>
    </row>
    <row r="155" spans="1:5" ht="22.5" customHeight="1" x14ac:dyDescent="0.2">
      <c r="A155" s="4" t="s">
        <v>345</v>
      </c>
      <c r="B155" s="5" t="s">
        <v>346</v>
      </c>
      <c r="C155" s="5" t="s">
        <v>347</v>
      </c>
      <c r="D155" s="7" t="s">
        <v>27</v>
      </c>
      <c r="E155" s="6">
        <f t="shared" si="0"/>
        <v>16</v>
      </c>
    </row>
    <row r="156" spans="1:5" ht="22.5" customHeight="1" x14ac:dyDescent="0.2">
      <c r="A156" s="4" t="s">
        <v>348</v>
      </c>
      <c r="B156" s="5" t="s">
        <v>349</v>
      </c>
      <c r="C156" s="5" t="s">
        <v>350</v>
      </c>
      <c r="D156" s="7" t="s">
        <v>30</v>
      </c>
      <c r="E156" s="6">
        <f t="shared" si="0"/>
        <v>40</v>
      </c>
    </row>
    <row r="157" spans="1:5" ht="22.5" customHeight="1" x14ac:dyDescent="0.2">
      <c r="A157" s="4" t="s">
        <v>351</v>
      </c>
      <c r="B157" s="5" t="s">
        <v>352</v>
      </c>
      <c r="C157" s="5" t="s">
        <v>353</v>
      </c>
      <c r="D157" s="7" t="s">
        <v>27</v>
      </c>
      <c r="E157" s="6">
        <f t="shared" si="0"/>
        <v>16</v>
      </c>
    </row>
    <row r="158" spans="1:5" ht="22.5" customHeight="1" x14ac:dyDescent="0.2">
      <c r="A158" s="4" t="s">
        <v>354</v>
      </c>
      <c r="B158" s="5" t="s">
        <v>355</v>
      </c>
      <c r="C158" s="5" t="s">
        <v>356</v>
      </c>
      <c r="D158" s="7" t="s">
        <v>27</v>
      </c>
      <c r="E158" s="6">
        <f t="shared" si="0"/>
        <v>16</v>
      </c>
    </row>
    <row r="159" spans="1:5" ht="22.5" customHeight="1" x14ac:dyDescent="0.2">
      <c r="A159" s="4" t="s">
        <v>357</v>
      </c>
      <c r="B159" s="5" t="s">
        <v>358</v>
      </c>
      <c r="C159" s="5" t="s">
        <v>359</v>
      </c>
      <c r="D159" s="7" t="s">
        <v>30</v>
      </c>
      <c r="E159" s="6">
        <f t="shared" si="0"/>
        <v>40</v>
      </c>
    </row>
    <row r="160" spans="1:5" ht="22.5" customHeight="1" x14ac:dyDescent="0.2">
      <c r="A160" s="4" t="s">
        <v>79</v>
      </c>
      <c r="B160" s="5" t="s">
        <v>80</v>
      </c>
      <c r="C160" s="5" t="s">
        <v>81</v>
      </c>
      <c r="D160" s="7" t="s">
        <v>27</v>
      </c>
      <c r="E160" s="6">
        <f t="shared" si="0"/>
        <v>16</v>
      </c>
    </row>
    <row r="161" spans="1:5" ht="22.5" customHeight="1" x14ac:dyDescent="0.2">
      <c r="A161" s="4" t="s">
        <v>82</v>
      </c>
      <c r="B161" s="5" t="s">
        <v>83</v>
      </c>
      <c r="C161" s="5" t="s">
        <v>84</v>
      </c>
      <c r="D161" s="7" t="s">
        <v>35</v>
      </c>
      <c r="E161" s="6">
        <f t="shared" si="0"/>
        <v>100</v>
      </c>
    </row>
    <row r="162" spans="1:5" ht="22.5" customHeight="1" x14ac:dyDescent="0.2">
      <c r="A162" s="4" t="s">
        <v>87</v>
      </c>
      <c r="B162" s="5" t="s">
        <v>88</v>
      </c>
      <c r="C162" s="5" t="s">
        <v>89</v>
      </c>
      <c r="D162" s="7" t="s">
        <v>30</v>
      </c>
      <c r="E162" s="6">
        <f t="shared" si="0"/>
        <v>40</v>
      </c>
    </row>
    <row r="163" spans="1:5" ht="22.5" customHeight="1" x14ac:dyDescent="0.2">
      <c r="A163" s="4" t="s">
        <v>92</v>
      </c>
      <c r="B163" s="5" t="s">
        <v>93</v>
      </c>
      <c r="C163" s="5" t="s">
        <v>94</v>
      </c>
      <c r="D163" s="7" t="s">
        <v>30</v>
      </c>
      <c r="E163" s="6">
        <f t="shared" si="0"/>
        <v>40</v>
      </c>
    </row>
    <row r="164" spans="1:5" ht="22.5" customHeight="1" x14ac:dyDescent="0.2">
      <c r="A164" s="4" t="s">
        <v>97</v>
      </c>
      <c r="B164" s="5" t="s">
        <v>98</v>
      </c>
      <c r="C164" s="5" t="s">
        <v>99</v>
      </c>
      <c r="D164" s="7" t="s">
        <v>27</v>
      </c>
      <c r="E164" s="6">
        <f t="shared" si="0"/>
        <v>16</v>
      </c>
    </row>
    <row r="165" spans="1:5" ht="22.5" customHeight="1" x14ac:dyDescent="0.2">
      <c r="A165" s="18">
        <f>COUNTA(Detailed_Analysis[Step Num])</f>
        <v>158</v>
      </c>
      <c r="B165" s="18"/>
      <c r="C165" s="18"/>
      <c r="D165" s="18"/>
      <c r="E165" s="18">
        <f>SUM(Detailed_Analysis[Effort Hours (hrs)])</f>
        <v>6152</v>
      </c>
    </row>
  </sheetData>
  <mergeCells count="2">
    <mergeCell ref="A1:K1"/>
    <mergeCell ref="A2:K2"/>
  </mergeCells>
  <conditionalFormatting sqref="D7:D164">
    <cfRule type="cellIs" dxfId="10" priority="4" operator="equal">
      <formula>"HIGH"</formula>
    </cfRule>
    <cfRule type="cellIs" dxfId="9" priority="5" operator="equal">
      <formula>"MEDIUM"</formula>
    </cfRule>
    <cfRule type="cellIs" dxfId="8" priority="6" operator="equal">
      <formula>"LOW"</formula>
    </cfRule>
  </conditionalFormatting>
  <conditionalFormatting sqref="J7:J23">
    <cfRule type="cellIs" dxfId="7" priority="1" operator="equal">
      <formula>"HIGH"</formula>
    </cfRule>
    <cfRule type="cellIs" dxfId="6" priority="2" operator="equal">
      <formula>"MEDIUM"</formula>
    </cfRule>
    <cfRule type="cellIs" dxfId="5" priority="3" operator="equal">
      <formula>"LOW"</formula>
    </cfRule>
  </conditionalFormatting>
  <dataValidations count="2">
    <dataValidation type="custom" allowBlank="1" showDropDown="1" sqref="O3:P4 G7:G23 K7:K23 A7:A164 E7:E164" xr:uid="{00000000-0002-0000-0100-000000000000}">
      <formula1>AND(ISNUMBER(A3),(NOT(OR(NOT(ISERROR(DATEVALUE(A3))), AND(ISNUMBER(A3), LEFT(CELL("format", A3))="D")))))</formula1>
    </dataValidation>
    <dataValidation type="list" allowBlank="1" sqref="J7:J23 D7:D164" xr:uid="{00000000-0002-0000-0100-000001000000}">
      <formula1>"LOW,MEDIUM,HIGH"</formula1>
    </dataValidation>
  </dataValidations>
  <pageMargins left="0.7" right="0.7" top="0.75" bottom="0.75" header="0.3" footer="0.3"/>
  <ignoredErrors>
    <ignoredError sqref="G14:G23 A148:A164" listDataValidation="1"/>
  </ignoredErrors>
  <tableParts count="3">
    <tablePart r:id="rId1"/>
    <tablePart r:id="rId2"/>
    <tablePart r:id="rId3"/>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Dashboard</vt:lpstr>
      <vt:lpstr>Virus Inactivation</vt:lpstr>
      <vt:lpstr>Virus Filtration</vt:lpstr>
      <vt:lpstr>Chromatography 1</vt:lpstr>
      <vt:lpstr>Chromatography 2</vt:lpstr>
      <vt:lpstr>Conjugation 1</vt:lpstr>
      <vt:lpstr>Conjugation 2</vt:lpstr>
      <vt:lpstr>Bulk Formulation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Frieda Maritz</dc:creator>
  <cp:lastModifiedBy>Frieda van der Merwe</cp:lastModifiedBy>
  <dcterms:created xsi:type="dcterms:W3CDTF">2026-03-16T06:57:55Z</dcterms:created>
  <dcterms:modified xsi:type="dcterms:W3CDTF">2026-03-16T06:57:56Z</dcterms:modified>
</cp:coreProperties>
</file>